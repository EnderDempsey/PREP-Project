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edemp\Downloads\"/>
    </mc:Choice>
  </mc:AlternateContent>
  <xr:revisionPtr revIDLastSave="0" documentId="8_{E01467EE-5CAF-4D99-86E5-28211608A34A}" xr6:coauthVersionLast="47" xr6:coauthVersionMax="47" xr10:uidLastSave="{00000000-0000-0000-0000-000000000000}"/>
  <bookViews>
    <workbookView xWindow="-108" yWindow="-108" windowWidth="23256" windowHeight="13176" xr2:uid="{D8E918F0-5EBE-4FAC-93F9-785A96DA4E8B}"/>
  </bookViews>
  <sheets>
    <sheet name="README" sheetId="15" r:id="rId1"/>
    <sheet name="SDs by Year For Deciles" sheetId="1" r:id="rId2"/>
    <sheet name="Correlation Matrix" sheetId="16" r:id="rId3"/>
    <sheet name="lns" sheetId="2" r:id="rId4"/>
    <sheet name="Lo 10 Test" sheetId="3" r:id="rId5"/>
    <sheet name="Dec 2 Test" sheetId="4" r:id="rId6"/>
    <sheet name="Dec 3 Test" sheetId="5" r:id="rId7"/>
    <sheet name="Dec 4 Test" sheetId="6" r:id="rId8"/>
    <sheet name="Dec 5 Test" sheetId="7" r:id="rId9"/>
    <sheet name="Dec 6 Test" sheetId="8" r:id="rId10"/>
    <sheet name="Dec 7 Test" sheetId="9" r:id="rId11"/>
    <sheet name="Dec 8 Test" sheetId="10" r:id="rId12"/>
    <sheet name="Dec 9 Test" sheetId="11" r:id="rId13"/>
    <sheet name="Hi 10 Test" sheetId="12" r:id="rId14"/>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2" i="12" l="1"/>
  <c r="E102" i="12" s="1"/>
  <c r="D101" i="12"/>
  <c r="E101" i="12" s="1"/>
  <c r="D100" i="12"/>
  <c r="E100" i="12" s="1"/>
  <c r="D99" i="12"/>
  <c r="E99" i="12" s="1"/>
  <c r="D98" i="12"/>
  <c r="E98" i="12" s="1"/>
  <c r="D97" i="12"/>
  <c r="E97" i="12" s="1"/>
  <c r="D96" i="12"/>
  <c r="E96" i="12" s="1"/>
  <c r="D95" i="12"/>
  <c r="E95" i="12" s="1"/>
  <c r="D94" i="12"/>
  <c r="E94" i="12" s="1"/>
  <c r="D93" i="12"/>
  <c r="E93" i="12" s="1"/>
  <c r="D92" i="12"/>
  <c r="E92" i="12" s="1"/>
  <c r="D91" i="12"/>
  <c r="E91" i="12" s="1"/>
  <c r="D90" i="12"/>
  <c r="E90" i="12" s="1"/>
  <c r="D89" i="12"/>
  <c r="E89" i="12" s="1"/>
  <c r="D88" i="12"/>
  <c r="E88" i="12" s="1"/>
  <c r="D87" i="12"/>
  <c r="E87" i="12" s="1"/>
  <c r="D86" i="12"/>
  <c r="E86" i="12" s="1"/>
  <c r="D85" i="12"/>
  <c r="E85" i="12" s="1"/>
  <c r="D84" i="12"/>
  <c r="E84" i="12" s="1"/>
  <c r="D83" i="12"/>
  <c r="E83" i="12" s="1"/>
  <c r="D82" i="12"/>
  <c r="E82" i="12" s="1"/>
  <c r="D81" i="12"/>
  <c r="E81" i="12" s="1"/>
  <c r="D80" i="12"/>
  <c r="E80" i="12" s="1"/>
  <c r="D79" i="12"/>
  <c r="E79" i="12" s="1"/>
  <c r="D78" i="12"/>
  <c r="E78" i="12" s="1"/>
  <c r="D77" i="12"/>
  <c r="E77" i="12" s="1"/>
  <c r="D76" i="12"/>
  <c r="E76" i="12" s="1"/>
  <c r="D75" i="12"/>
  <c r="E75" i="12" s="1"/>
  <c r="D74" i="12"/>
  <c r="E74" i="12" s="1"/>
  <c r="D73" i="12"/>
  <c r="E73" i="12" s="1"/>
  <c r="D72" i="12"/>
  <c r="E72" i="12" s="1"/>
  <c r="D71" i="12"/>
  <c r="E71" i="12" s="1"/>
  <c r="D70" i="12"/>
  <c r="E70" i="12" s="1"/>
  <c r="D69" i="12"/>
  <c r="E69" i="12" s="1"/>
  <c r="D68" i="12"/>
  <c r="E68" i="12" s="1"/>
  <c r="D67" i="12"/>
  <c r="E67" i="12" s="1"/>
  <c r="D66" i="12"/>
  <c r="E66" i="12" s="1"/>
  <c r="D65" i="12"/>
  <c r="E65" i="12" s="1"/>
  <c r="D64" i="12"/>
  <c r="E64" i="12" s="1"/>
  <c r="D63" i="12"/>
  <c r="E63" i="12" s="1"/>
  <c r="D62" i="12"/>
  <c r="E62" i="12" s="1"/>
  <c r="D61" i="12"/>
  <c r="E61" i="12" s="1"/>
  <c r="D60" i="12"/>
  <c r="E60" i="12" s="1"/>
  <c r="D59" i="12"/>
  <c r="E59" i="12" s="1"/>
  <c r="D58" i="12"/>
  <c r="E58" i="12" s="1"/>
  <c r="D57" i="12"/>
  <c r="E57" i="12" s="1"/>
  <c r="D56" i="12"/>
  <c r="E56" i="12" s="1"/>
  <c r="D55" i="12"/>
  <c r="E55" i="12" s="1"/>
  <c r="D54" i="12"/>
  <c r="E54" i="12" s="1"/>
  <c r="D53" i="12"/>
  <c r="E53" i="12" s="1"/>
  <c r="D52" i="12"/>
  <c r="E52" i="12" s="1"/>
  <c r="D51" i="12"/>
  <c r="E51" i="12" s="1"/>
  <c r="D50" i="12"/>
  <c r="E50" i="12" s="1"/>
  <c r="D49" i="12"/>
  <c r="E49" i="12" s="1"/>
  <c r="D48" i="12"/>
  <c r="E48" i="12" s="1"/>
  <c r="D47" i="12"/>
  <c r="E47" i="12" s="1"/>
  <c r="D46" i="12"/>
  <c r="E46" i="12" s="1"/>
  <c r="D45" i="12"/>
  <c r="E45" i="12" s="1"/>
  <c r="D44" i="12"/>
  <c r="E44" i="12" s="1"/>
  <c r="D43" i="12"/>
  <c r="E43" i="12" s="1"/>
  <c r="D42" i="12"/>
  <c r="E42" i="12" s="1"/>
  <c r="D41" i="12"/>
  <c r="E41" i="12" s="1"/>
  <c r="D40" i="12"/>
  <c r="E40" i="12" s="1"/>
  <c r="D39" i="12"/>
  <c r="E39" i="12" s="1"/>
  <c r="D38" i="12"/>
  <c r="E38" i="12" s="1"/>
  <c r="D37" i="12"/>
  <c r="E37" i="12" s="1"/>
  <c r="D36" i="12"/>
  <c r="E36" i="12" s="1"/>
  <c r="D35" i="12"/>
  <c r="E35" i="12" s="1"/>
  <c r="D34" i="12"/>
  <c r="E34" i="12" s="1"/>
  <c r="D33" i="12"/>
  <c r="E33" i="12" s="1"/>
  <c r="D32" i="12"/>
  <c r="E32" i="12" s="1"/>
  <c r="D31" i="12"/>
  <c r="E31" i="12" s="1"/>
  <c r="D30" i="12"/>
  <c r="E30" i="12" s="1"/>
  <c r="D29" i="12"/>
  <c r="E29" i="12" s="1"/>
  <c r="D28" i="12"/>
  <c r="E28" i="12" s="1"/>
  <c r="D27" i="12"/>
  <c r="E27" i="12" s="1"/>
  <c r="D26" i="12"/>
  <c r="E26" i="12" s="1"/>
  <c r="D25" i="12"/>
  <c r="E25" i="12" s="1"/>
  <c r="D24" i="12"/>
  <c r="E24" i="12" s="1"/>
  <c r="D23" i="12"/>
  <c r="E23" i="12" s="1"/>
  <c r="D22" i="12"/>
  <c r="E22" i="12" s="1"/>
  <c r="D21" i="12"/>
  <c r="E21" i="12" s="1"/>
  <c r="D20" i="12"/>
  <c r="E20" i="12" s="1"/>
  <c r="D19" i="12"/>
  <c r="E19" i="12" s="1"/>
  <c r="D18" i="12"/>
  <c r="E18" i="12" s="1"/>
  <c r="D17" i="12"/>
  <c r="E17" i="12" s="1"/>
  <c r="D16" i="12"/>
  <c r="E16" i="12" s="1"/>
  <c r="D15" i="12"/>
  <c r="E15" i="12" s="1"/>
  <c r="D14" i="12"/>
  <c r="E14" i="12" s="1"/>
  <c r="D13" i="12"/>
  <c r="E13" i="12" s="1"/>
  <c r="D12" i="12"/>
  <c r="E12" i="12" s="1"/>
  <c r="D11" i="12"/>
  <c r="E11" i="12" s="1"/>
  <c r="D10" i="12"/>
  <c r="E10" i="12" s="1"/>
  <c r="D9" i="12"/>
  <c r="E9" i="12" s="1"/>
  <c r="D8" i="12"/>
  <c r="E8" i="12" s="1"/>
  <c r="D7" i="12"/>
  <c r="E7" i="12" s="1"/>
  <c r="D6" i="12"/>
  <c r="E6" i="12" s="1"/>
  <c r="D5" i="12"/>
  <c r="E5" i="12" s="1"/>
  <c r="D4" i="12"/>
  <c r="E4" i="12" s="1"/>
  <c r="D102" i="11"/>
  <c r="E102" i="11" s="1"/>
  <c r="D101" i="11"/>
  <c r="E101" i="11" s="1"/>
  <c r="D100" i="11"/>
  <c r="E100" i="11" s="1"/>
  <c r="D99" i="11"/>
  <c r="E99" i="11" s="1"/>
  <c r="D98" i="11"/>
  <c r="E98" i="11" s="1"/>
  <c r="D97" i="11"/>
  <c r="E97" i="11" s="1"/>
  <c r="D96" i="11"/>
  <c r="E96" i="11" s="1"/>
  <c r="D95" i="11"/>
  <c r="E95" i="11" s="1"/>
  <c r="D94" i="11"/>
  <c r="E94" i="11" s="1"/>
  <c r="D93" i="11"/>
  <c r="E93" i="11" s="1"/>
  <c r="D92" i="11"/>
  <c r="E92" i="11" s="1"/>
  <c r="D91" i="11"/>
  <c r="E91" i="11" s="1"/>
  <c r="D90" i="11"/>
  <c r="E90" i="11" s="1"/>
  <c r="D89" i="11"/>
  <c r="E89" i="11" s="1"/>
  <c r="D88" i="11"/>
  <c r="E88" i="11" s="1"/>
  <c r="D87" i="11"/>
  <c r="E87" i="11" s="1"/>
  <c r="D86" i="11"/>
  <c r="E86" i="11" s="1"/>
  <c r="D85" i="11"/>
  <c r="E85" i="11" s="1"/>
  <c r="D84" i="11"/>
  <c r="E84" i="11" s="1"/>
  <c r="D83" i="11"/>
  <c r="E83" i="11" s="1"/>
  <c r="D82" i="11"/>
  <c r="E82" i="11" s="1"/>
  <c r="D81" i="11"/>
  <c r="E81" i="11" s="1"/>
  <c r="D80" i="11"/>
  <c r="E80" i="11" s="1"/>
  <c r="D79" i="11"/>
  <c r="E79" i="11" s="1"/>
  <c r="D78" i="11"/>
  <c r="E78" i="11" s="1"/>
  <c r="D77" i="11"/>
  <c r="E77" i="11" s="1"/>
  <c r="D76" i="11"/>
  <c r="E76" i="11" s="1"/>
  <c r="D75" i="11"/>
  <c r="E75" i="11" s="1"/>
  <c r="D74" i="11"/>
  <c r="E74" i="11" s="1"/>
  <c r="D73" i="11"/>
  <c r="E73" i="11" s="1"/>
  <c r="D72" i="11"/>
  <c r="E72" i="11" s="1"/>
  <c r="D71" i="11"/>
  <c r="E71" i="11" s="1"/>
  <c r="D70" i="11"/>
  <c r="E70" i="11" s="1"/>
  <c r="D69" i="11"/>
  <c r="E69" i="11" s="1"/>
  <c r="D68" i="11"/>
  <c r="E68" i="11" s="1"/>
  <c r="D67" i="11"/>
  <c r="E67" i="11" s="1"/>
  <c r="D66" i="11"/>
  <c r="E66" i="11" s="1"/>
  <c r="D65" i="11"/>
  <c r="E65" i="11" s="1"/>
  <c r="D64" i="11"/>
  <c r="E64" i="11" s="1"/>
  <c r="D63" i="11"/>
  <c r="E63" i="11" s="1"/>
  <c r="D62" i="11"/>
  <c r="E62" i="11" s="1"/>
  <c r="D61" i="11"/>
  <c r="E61" i="11" s="1"/>
  <c r="D60" i="11"/>
  <c r="E60" i="11" s="1"/>
  <c r="D59" i="11"/>
  <c r="E59" i="11" s="1"/>
  <c r="D58" i="11"/>
  <c r="E58" i="11" s="1"/>
  <c r="D57" i="11"/>
  <c r="E57" i="11" s="1"/>
  <c r="D56" i="11"/>
  <c r="E56" i="11" s="1"/>
  <c r="D55" i="11"/>
  <c r="E55" i="11" s="1"/>
  <c r="D54" i="11"/>
  <c r="E54" i="11" s="1"/>
  <c r="D53" i="11"/>
  <c r="E53" i="11" s="1"/>
  <c r="D52" i="11"/>
  <c r="E52" i="11" s="1"/>
  <c r="D51" i="11"/>
  <c r="E51" i="11" s="1"/>
  <c r="D50" i="11"/>
  <c r="E50" i="11" s="1"/>
  <c r="D49" i="11"/>
  <c r="E49" i="11" s="1"/>
  <c r="D48" i="11"/>
  <c r="E48" i="11" s="1"/>
  <c r="D47" i="11"/>
  <c r="E47" i="11" s="1"/>
  <c r="D46" i="11"/>
  <c r="E46" i="11" s="1"/>
  <c r="D45" i="11"/>
  <c r="E45" i="11" s="1"/>
  <c r="D44" i="11"/>
  <c r="E44" i="11" s="1"/>
  <c r="D43" i="11"/>
  <c r="E43" i="11" s="1"/>
  <c r="D42" i="11"/>
  <c r="E42" i="11" s="1"/>
  <c r="D41" i="11"/>
  <c r="E41" i="11" s="1"/>
  <c r="D40" i="11"/>
  <c r="E40" i="11" s="1"/>
  <c r="D39" i="11"/>
  <c r="E39" i="11" s="1"/>
  <c r="D38" i="11"/>
  <c r="E38" i="11" s="1"/>
  <c r="D37" i="11"/>
  <c r="E37" i="11" s="1"/>
  <c r="D36" i="11"/>
  <c r="E36" i="11" s="1"/>
  <c r="D35" i="11"/>
  <c r="E35" i="11" s="1"/>
  <c r="D34" i="11"/>
  <c r="E34" i="11" s="1"/>
  <c r="D33" i="11"/>
  <c r="E33" i="11" s="1"/>
  <c r="D32" i="11"/>
  <c r="E32" i="11" s="1"/>
  <c r="D31" i="11"/>
  <c r="E31" i="11" s="1"/>
  <c r="D30" i="11"/>
  <c r="E30" i="11" s="1"/>
  <c r="D29" i="11"/>
  <c r="E29" i="11" s="1"/>
  <c r="D28" i="11"/>
  <c r="E28" i="11" s="1"/>
  <c r="D27" i="11"/>
  <c r="E27" i="11" s="1"/>
  <c r="D26" i="11"/>
  <c r="E26" i="11" s="1"/>
  <c r="D25" i="11"/>
  <c r="E25" i="11" s="1"/>
  <c r="D24" i="11"/>
  <c r="E24" i="11" s="1"/>
  <c r="D23" i="11"/>
  <c r="E23" i="11" s="1"/>
  <c r="D22" i="11"/>
  <c r="E22" i="11" s="1"/>
  <c r="D21" i="11"/>
  <c r="E21" i="11" s="1"/>
  <c r="D20" i="11"/>
  <c r="E20" i="11" s="1"/>
  <c r="D19" i="11"/>
  <c r="E19" i="11" s="1"/>
  <c r="D18" i="11"/>
  <c r="E18" i="11" s="1"/>
  <c r="D17" i="11"/>
  <c r="E17" i="11" s="1"/>
  <c r="D16" i="11"/>
  <c r="E16" i="11" s="1"/>
  <c r="D15" i="11"/>
  <c r="E15" i="11" s="1"/>
  <c r="D14" i="11"/>
  <c r="E14" i="11" s="1"/>
  <c r="D13" i="11"/>
  <c r="E13" i="11" s="1"/>
  <c r="D12" i="11"/>
  <c r="E12" i="11" s="1"/>
  <c r="D11" i="11"/>
  <c r="E11" i="11" s="1"/>
  <c r="D10" i="11"/>
  <c r="E10" i="11" s="1"/>
  <c r="D9" i="11"/>
  <c r="E9" i="11" s="1"/>
  <c r="D8" i="11"/>
  <c r="E8" i="11" s="1"/>
  <c r="D7" i="11"/>
  <c r="E7" i="11" s="1"/>
  <c r="D6" i="11"/>
  <c r="E6" i="11" s="1"/>
  <c r="D5" i="11"/>
  <c r="E5" i="11" s="1"/>
  <c r="D4" i="11"/>
  <c r="E4" i="11" s="1"/>
  <c r="D102" i="10"/>
  <c r="E102" i="10" s="1"/>
  <c r="D101" i="10"/>
  <c r="E101" i="10" s="1"/>
  <c r="D100" i="10"/>
  <c r="E100" i="10" s="1"/>
  <c r="D99" i="10"/>
  <c r="E99" i="10" s="1"/>
  <c r="D98" i="10"/>
  <c r="E98" i="10" s="1"/>
  <c r="D97" i="10"/>
  <c r="E97" i="10" s="1"/>
  <c r="D96" i="10"/>
  <c r="E96" i="10" s="1"/>
  <c r="D95" i="10"/>
  <c r="E95" i="10" s="1"/>
  <c r="D94" i="10"/>
  <c r="E94" i="10" s="1"/>
  <c r="D93" i="10"/>
  <c r="E93" i="10" s="1"/>
  <c r="D92" i="10"/>
  <c r="E92" i="10" s="1"/>
  <c r="D91" i="10"/>
  <c r="E91" i="10" s="1"/>
  <c r="D90" i="10"/>
  <c r="E90" i="10" s="1"/>
  <c r="D89" i="10"/>
  <c r="E89" i="10" s="1"/>
  <c r="D88" i="10"/>
  <c r="E88" i="10" s="1"/>
  <c r="D87" i="10"/>
  <c r="E87" i="10" s="1"/>
  <c r="D86" i="10"/>
  <c r="E86" i="10" s="1"/>
  <c r="D85" i="10"/>
  <c r="E85" i="10" s="1"/>
  <c r="D84" i="10"/>
  <c r="E84" i="10" s="1"/>
  <c r="D83" i="10"/>
  <c r="E83" i="10" s="1"/>
  <c r="D82" i="10"/>
  <c r="E82" i="10" s="1"/>
  <c r="D81" i="10"/>
  <c r="E81" i="10" s="1"/>
  <c r="D80" i="10"/>
  <c r="E80" i="10" s="1"/>
  <c r="D79" i="10"/>
  <c r="E79" i="10" s="1"/>
  <c r="D78" i="10"/>
  <c r="E78" i="10" s="1"/>
  <c r="D77" i="10"/>
  <c r="E77" i="10" s="1"/>
  <c r="D76" i="10"/>
  <c r="E76" i="10" s="1"/>
  <c r="D75" i="10"/>
  <c r="E75" i="10" s="1"/>
  <c r="D74" i="10"/>
  <c r="E74" i="10" s="1"/>
  <c r="D73" i="10"/>
  <c r="E73" i="10" s="1"/>
  <c r="D72" i="10"/>
  <c r="E72" i="10" s="1"/>
  <c r="D71" i="10"/>
  <c r="E71" i="10" s="1"/>
  <c r="D70" i="10"/>
  <c r="E70" i="10" s="1"/>
  <c r="D69" i="10"/>
  <c r="E69" i="10" s="1"/>
  <c r="D68" i="10"/>
  <c r="E68" i="10" s="1"/>
  <c r="D67" i="10"/>
  <c r="E67" i="10" s="1"/>
  <c r="D66" i="10"/>
  <c r="E66" i="10" s="1"/>
  <c r="D65" i="10"/>
  <c r="E65" i="10" s="1"/>
  <c r="D64" i="10"/>
  <c r="E64" i="10" s="1"/>
  <c r="D63" i="10"/>
  <c r="E63" i="10" s="1"/>
  <c r="D62" i="10"/>
  <c r="E62" i="10" s="1"/>
  <c r="D61" i="10"/>
  <c r="E61" i="10" s="1"/>
  <c r="D60" i="10"/>
  <c r="E60" i="10" s="1"/>
  <c r="D59" i="10"/>
  <c r="E59" i="10" s="1"/>
  <c r="D58" i="10"/>
  <c r="E58" i="10" s="1"/>
  <c r="D57" i="10"/>
  <c r="E57" i="10" s="1"/>
  <c r="D56" i="10"/>
  <c r="E56" i="10" s="1"/>
  <c r="D55" i="10"/>
  <c r="E55" i="10" s="1"/>
  <c r="D54" i="10"/>
  <c r="E54" i="10" s="1"/>
  <c r="D53" i="10"/>
  <c r="E53" i="10" s="1"/>
  <c r="D52" i="10"/>
  <c r="E52" i="10" s="1"/>
  <c r="D51" i="10"/>
  <c r="E51" i="10" s="1"/>
  <c r="D50" i="10"/>
  <c r="E50" i="10" s="1"/>
  <c r="D49" i="10"/>
  <c r="E49" i="10" s="1"/>
  <c r="D48" i="10"/>
  <c r="E48" i="10" s="1"/>
  <c r="D47" i="10"/>
  <c r="E47" i="10" s="1"/>
  <c r="D46" i="10"/>
  <c r="E46" i="10" s="1"/>
  <c r="D45" i="10"/>
  <c r="E45" i="10" s="1"/>
  <c r="D44" i="10"/>
  <c r="E44" i="10" s="1"/>
  <c r="D43" i="10"/>
  <c r="E43" i="10" s="1"/>
  <c r="D42" i="10"/>
  <c r="E42" i="10" s="1"/>
  <c r="D41" i="10"/>
  <c r="E41" i="10" s="1"/>
  <c r="D40" i="10"/>
  <c r="E40" i="10" s="1"/>
  <c r="D39" i="10"/>
  <c r="E39" i="10" s="1"/>
  <c r="D38" i="10"/>
  <c r="E38" i="10" s="1"/>
  <c r="D37" i="10"/>
  <c r="E37" i="10" s="1"/>
  <c r="D36" i="10"/>
  <c r="E36" i="10" s="1"/>
  <c r="D35" i="10"/>
  <c r="E35" i="10" s="1"/>
  <c r="D34" i="10"/>
  <c r="E34" i="10" s="1"/>
  <c r="D33" i="10"/>
  <c r="E33" i="10" s="1"/>
  <c r="D32" i="10"/>
  <c r="E32" i="10" s="1"/>
  <c r="D31" i="10"/>
  <c r="E31" i="10" s="1"/>
  <c r="D30" i="10"/>
  <c r="E30" i="10" s="1"/>
  <c r="D29" i="10"/>
  <c r="E29" i="10" s="1"/>
  <c r="D28" i="10"/>
  <c r="E28" i="10" s="1"/>
  <c r="D27" i="10"/>
  <c r="E27" i="10" s="1"/>
  <c r="D26" i="10"/>
  <c r="E26" i="10" s="1"/>
  <c r="D25" i="10"/>
  <c r="E25" i="10" s="1"/>
  <c r="D24" i="10"/>
  <c r="E24" i="10" s="1"/>
  <c r="D23" i="10"/>
  <c r="E23" i="10" s="1"/>
  <c r="D22" i="10"/>
  <c r="E22" i="10" s="1"/>
  <c r="D21" i="10"/>
  <c r="E21" i="10" s="1"/>
  <c r="D20" i="10"/>
  <c r="E20" i="10" s="1"/>
  <c r="D19" i="10"/>
  <c r="E19" i="10" s="1"/>
  <c r="D18" i="10"/>
  <c r="E18" i="10" s="1"/>
  <c r="D17" i="10"/>
  <c r="E17" i="10" s="1"/>
  <c r="D16" i="10"/>
  <c r="E16" i="10" s="1"/>
  <c r="D15" i="10"/>
  <c r="E15" i="10" s="1"/>
  <c r="D14" i="10"/>
  <c r="E14" i="10" s="1"/>
  <c r="D13" i="10"/>
  <c r="E13" i="10" s="1"/>
  <c r="D12" i="10"/>
  <c r="E12" i="10" s="1"/>
  <c r="D11" i="10"/>
  <c r="E11" i="10" s="1"/>
  <c r="D10" i="10"/>
  <c r="E10" i="10" s="1"/>
  <c r="D9" i="10"/>
  <c r="E9" i="10" s="1"/>
  <c r="D8" i="10"/>
  <c r="E8" i="10" s="1"/>
  <c r="D7" i="10"/>
  <c r="E7" i="10" s="1"/>
  <c r="D6" i="10"/>
  <c r="E6" i="10" s="1"/>
  <c r="D5" i="10"/>
  <c r="E5" i="10" s="1"/>
  <c r="D4" i="10"/>
  <c r="E4" i="10" s="1"/>
  <c r="D102" i="9"/>
  <c r="E102" i="9" s="1"/>
  <c r="D101" i="9"/>
  <c r="E101" i="9" s="1"/>
  <c r="D100" i="9"/>
  <c r="E100" i="9" s="1"/>
  <c r="D99" i="9"/>
  <c r="E99" i="9" s="1"/>
  <c r="D98" i="9"/>
  <c r="E98" i="9" s="1"/>
  <c r="D97" i="9"/>
  <c r="E97" i="9" s="1"/>
  <c r="D96" i="9"/>
  <c r="E96" i="9" s="1"/>
  <c r="D95" i="9"/>
  <c r="E95" i="9" s="1"/>
  <c r="D94" i="9"/>
  <c r="E94" i="9" s="1"/>
  <c r="D93" i="9"/>
  <c r="E93" i="9" s="1"/>
  <c r="D92" i="9"/>
  <c r="E92" i="9" s="1"/>
  <c r="D91" i="9"/>
  <c r="E91" i="9" s="1"/>
  <c r="D90" i="9"/>
  <c r="E90" i="9" s="1"/>
  <c r="D89" i="9"/>
  <c r="E89" i="9" s="1"/>
  <c r="D88" i="9"/>
  <c r="E88" i="9" s="1"/>
  <c r="D87" i="9"/>
  <c r="E87" i="9" s="1"/>
  <c r="D86" i="9"/>
  <c r="E86" i="9" s="1"/>
  <c r="D85" i="9"/>
  <c r="E85" i="9" s="1"/>
  <c r="D84" i="9"/>
  <c r="E84" i="9" s="1"/>
  <c r="D83" i="9"/>
  <c r="E83" i="9" s="1"/>
  <c r="D82" i="9"/>
  <c r="E82" i="9" s="1"/>
  <c r="D81" i="9"/>
  <c r="E81" i="9" s="1"/>
  <c r="D80" i="9"/>
  <c r="E80" i="9" s="1"/>
  <c r="D79" i="9"/>
  <c r="E79" i="9" s="1"/>
  <c r="D78" i="9"/>
  <c r="E78" i="9" s="1"/>
  <c r="D77" i="9"/>
  <c r="E77" i="9" s="1"/>
  <c r="D76" i="9"/>
  <c r="E76" i="9" s="1"/>
  <c r="D75" i="9"/>
  <c r="E75" i="9" s="1"/>
  <c r="D74" i="9"/>
  <c r="E74" i="9" s="1"/>
  <c r="D73" i="9"/>
  <c r="E73" i="9" s="1"/>
  <c r="D72" i="9"/>
  <c r="E72" i="9" s="1"/>
  <c r="D71" i="9"/>
  <c r="E71" i="9" s="1"/>
  <c r="D70" i="9"/>
  <c r="E70" i="9" s="1"/>
  <c r="D69" i="9"/>
  <c r="E69" i="9" s="1"/>
  <c r="D68" i="9"/>
  <c r="E68" i="9" s="1"/>
  <c r="D67" i="9"/>
  <c r="E67" i="9" s="1"/>
  <c r="D66" i="9"/>
  <c r="E66" i="9" s="1"/>
  <c r="D65" i="9"/>
  <c r="E65" i="9" s="1"/>
  <c r="D64" i="9"/>
  <c r="E64" i="9" s="1"/>
  <c r="D63" i="9"/>
  <c r="E63" i="9" s="1"/>
  <c r="D62" i="9"/>
  <c r="E62" i="9" s="1"/>
  <c r="D61" i="9"/>
  <c r="E61" i="9" s="1"/>
  <c r="D60" i="9"/>
  <c r="E60" i="9" s="1"/>
  <c r="D59" i="9"/>
  <c r="E59" i="9" s="1"/>
  <c r="D58" i="9"/>
  <c r="E58" i="9" s="1"/>
  <c r="D57" i="9"/>
  <c r="E57" i="9" s="1"/>
  <c r="D56" i="9"/>
  <c r="E56" i="9" s="1"/>
  <c r="D55" i="9"/>
  <c r="E55" i="9" s="1"/>
  <c r="D54" i="9"/>
  <c r="E54" i="9" s="1"/>
  <c r="D53" i="9"/>
  <c r="E53" i="9" s="1"/>
  <c r="D52" i="9"/>
  <c r="E52" i="9" s="1"/>
  <c r="D51" i="9"/>
  <c r="E51" i="9" s="1"/>
  <c r="D50" i="9"/>
  <c r="E50" i="9" s="1"/>
  <c r="D49" i="9"/>
  <c r="E49" i="9" s="1"/>
  <c r="D48" i="9"/>
  <c r="E48" i="9" s="1"/>
  <c r="D47" i="9"/>
  <c r="E47" i="9" s="1"/>
  <c r="D46" i="9"/>
  <c r="E46" i="9" s="1"/>
  <c r="D45" i="9"/>
  <c r="E45" i="9" s="1"/>
  <c r="D44" i="9"/>
  <c r="E44" i="9" s="1"/>
  <c r="D43" i="9"/>
  <c r="E43" i="9" s="1"/>
  <c r="D42" i="9"/>
  <c r="E42" i="9" s="1"/>
  <c r="D41" i="9"/>
  <c r="E41" i="9" s="1"/>
  <c r="D40" i="9"/>
  <c r="E40" i="9" s="1"/>
  <c r="D39" i="9"/>
  <c r="E39" i="9" s="1"/>
  <c r="D38" i="9"/>
  <c r="E38" i="9" s="1"/>
  <c r="D37" i="9"/>
  <c r="E37" i="9" s="1"/>
  <c r="D36" i="9"/>
  <c r="E36" i="9" s="1"/>
  <c r="D35" i="9"/>
  <c r="E35" i="9" s="1"/>
  <c r="D34" i="9"/>
  <c r="E34" i="9" s="1"/>
  <c r="D33" i="9"/>
  <c r="E33" i="9" s="1"/>
  <c r="D32" i="9"/>
  <c r="E32" i="9" s="1"/>
  <c r="D31" i="9"/>
  <c r="E31" i="9" s="1"/>
  <c r="D30" i="9"/>
  <c r="E30" i="9" s="1"/>
  <c r="D29" i="9"/>
  <c r="E29" i="9" s="1"/>
  <c r="D28" i="9"/>
  <c r="E28" i="9" s="1"/>
  <c r="D27" i="9"/>
  <c r="E27" i="9" s="1"/>
  <c r="D26" i="9"/>
  <c r="E26" i="9" s="1"/>
  <c r="D25" i="9"/>
  <c r="E25" i="9" s="1"/>
  <c r="D24" i="9"/>
  <c r="E24" i="9" s="1"/>
  <c r="D23" i="9"/>
  <c r="E23" i="9" s="1"/>
  <c r="D22" i="9"/>
  <c r="E22" i="9" s="1"/>
  <c r="D21" i="9"/>
  <c r="E21" i="9" s="1"/>
  <c r="D20" i="9"/>
  <c r="E20" i="9" s="1"/>
  <c r="D19" i="9"/>
  <c r="E19" i="9" s="1"/>
  <c r="D18" i="9"/>
  <c r="E18" i="9" s="1"/>
  <c r="D17" i="9"/>
  <c r="E17" i="9" s="1"/>
  <c r="D16" i="9"/>
  <c r="E16" i="9" s="1"/>
  <c r="D15" i="9"/>
  <c r="E15" i="9" s="1"/>
  <c r="D14" i="9"/>
  <c r="E14" i="9" s="1"/>
  <c r="D13" i="9"/>
  <c r="E13" i="9" s="1"/>
  <c r="D12" i="9"/>
  <c r="E12" i="9" s="1"/>
  <c r="D11" i="9"/>
  <c r="E11" i="9" s="1"/>
  <c r="D10" i="9"/>
  <c r="E10" i="9" s="1"/>
  <c r="D9" i="9"/>
  <c r="E9" i="9" s="1"/>
  <c r="D8" i="9"/>
  <c r="E8" i="9" s="1"/>
  <c r="D7" i="9"/>
  <c r="E7" i="9" s="1"/>
  <c r="D6" i="9"/>
  <c r="E6" i="9" s="1"/>
  <c r="D5" i="9"/>
  <c r="E5" i="9" s="1"/>
  <c r="D4" i="9"/>
  <c r="E4" i="9" s="1"/>
  <c r="D102" i="8"/>
  <c r="E102" i="8" s="1"/>
  <c r="D101" i="8"/>
  <c r="E101" i="8" s="1"/>
  <c r="D100" i="8"/>
  <c r="E100" i="8" s="1"/>
  <c r="D99" i="8"/>
  <c r="E99" i="8" s="1"/>
  <c r="D98" i="8"/>
  <c r="E98" i="8" s="1"/>
  <c r="D97" i="8"/>
  <c r="E97" i="8" s="1"/>
  <c r="D96" i="8"/>
  <c r="E96" i="8" s="1"/>
  <c r="D95" i="8"/>
  <c r="E95" i="8" s="1"/>
  <c r="D94" i="8"/>
  <c r="E94" i="8" s="1"/>
  <c r="D93" i="8"/>
  <c r="E93" i="8" s="1"/>
  <c r="D92" i="8"/>
  <c r="E92" i="8" s="1"/>
  <c r="D91" i="8"/>
  <c r="E91" i="8" s="1"/>
  <c r="D90" i="8"/>
  <c r="E90" i="8" s="1"/>
  <c r="D89" i="8"/>
  <c r="E89" i="8" s="1"/>
  <c r="D88" i="8"/>
  <c r="E88" i="8" s="1"/>
  <c r="D87" i="8"/>
  <c r="E87" i="8" s="1"/>
  <c r="D86" i="8"/>
  <c r="E86" i="8" s="1"/>
  <c r="D85" i="8"/>
  <c r="E85" i="8" s="1"/>
  <c r="D84" i="8"/>
  <c r="E84" i="8" s="1"/>
  <c r="D83" i="8"/>
  <c r="E83" i="8" s="1"/>
  <c r="D82" i="8"/>
  <c r="E82" i="8" s="1"/>
  <c r="D81" i="8"/>
  <c r="E81" i="8" s="1"/>
  <c r="D80" i="8"/>
  <c r="E80" i="8" s="1"/>
  <c r="D79" i="8"/>
  <c r="E79" i="8" s="1"/>
  <c r="D78" i="8"/>
  <c r="E78" i="8" s="1"/>
  <c r="D77" i="8"/>
  <c r="E77" i="8" s="1"/>
  <c r="D76" i="8"/>
  <c r="E76" i="8" s="1"/>
  <c r="D75" i="8"/>
  <c r="E75" i="8" s="1"/>
  <c r="D74" i="8"/>
  <c r="E74" i="8" s="1"/>
  <c r="D73" i="8"/>
  <c r="E73" i="8" s="1"/>
  <c r="D72" i="8"/>
  <c r="E72" i="8" s="1"/>
  <c r="D71" i="8"/>
  <c r="E71" i="8" s="1"/>
  <c r="D70" i="8"/>
  <c r="E70" i="8" s="1"/>
  <c r="D69" i="8"/>
  <c r="E69" i="8" s="1"/>
  <c r="D68" i="8"/>
  <c r="E68" i="8" s="1"/>
  <c r="D67" i="8"/>
  <c r="E67" i="8" s="1"/>
  <c r="D66" i="8"/>
  <c r="E66" i="8" s="1"/>
  <c r="D65" i="8"/>
  <c r="E65" i="8" s="1"/>
  <c r="D64" i="8"/>
  <c r="E64" i="8" s="1"/>
  <c r="D63" i="8"/>
  <c r="E63" i="8" s="1"/>
  <c r="D62" i="8"/>
  <c r="E62" i="8" s="1"/>
  <c r="D61" i="8"/>
  <c r="E61" i="8" s="1"/>
  <c r="D60" i="8"/>
  <c r="E60" i="8" s="1"/>
  <c r="D59" i="8"/>
  <c r="E59" i="8" s="1"/>
  <c r="D58" i="8"/>
  <c r="E58" i="8" s="1"/>
  <c r="D57" i="8"/>
  <c r="E57" i="8" s="1"/>
  <c r="D56" i="8"/>
  <c r="E56" i="8" s="1"/>
  <c r="D55" i="8"/>
  <c r="E55" i="8" s="1"/>
  <c r="D54" i="8"/>
  <c r="E54" i="8" s="1"/>
  <c r="D53" i="8"/>
  <c r="E53" i="8" s="1"/>
  <c r="D52" i="8"/>
  <c r="E52" i="8" s="1"/>
  <c r="D51" i="8"/>
  <c r="E51" i="8" s="1"/>
  <c r="D50" i="8"/>
  <c r="E50" i="8" s="1"/>
  <c r="D49" i="8"/>
  <c r="E49" i="8" s="1"/>
  <c r="D48" i="8"/>
  <c r="E48" i="8" s="1"/>
  <c r="D47" i="8"/>
  <c r="E47" i="8" s="1"/>
  <c r="D46" i="8"/>
  <c r="E46" i="8" s="1"/>
  <c r="D45" i="8"/>
  <c r="E45" i="8" s="1"/>
  <c r="D44" i="8"/>
  <c r="E44" i="8" s="1"/>
  <c r="D43" i="8"/>
  <c r="E43" i="8" s="1"/>
  <c r="D42" i="8"/>
  <c r="E42" i="8" s="1"/>
  <c r="D41" i="8"/>
  <c r="E41" i="8" s="1"/>
  <c r="D40" i="8"/>
  <c r="E40" i="8" s="1"/>
  <c r="D39" i="8"/>
  <c r="E39" i="8" s="1"/>
  <c r="D38" i="8"/>
  <c r="E38" i="8" s="1"/>
  <c r="D37" i="8"/>
  <c r="E37" i="8" s="1"/>
  <c r="D36" i="8"/>
  <c r="E36" i="8" s="1"/>
  <c r="D35" i="8"/>
  <c r="E35" i="8" s="1"/>
  <c r="D34" i="8"/>
  <c r="E34" i="8" s="1"/>
  <c r="D33" i="8"/>
  <c r="E33" i="8" s="1"/>
  <c r="D32" i="8"/>
  <c r="E32" i="8" s="1"/>
  <c r="D31" i="8"/>
  <c r="E31" i="8" s="1"/>
  <c r="D30" i="8"/>
  <c r="E30" i="8" s="1"/>
  <c r="D29" i="8"/>
  <c r="E29" i="8" s="1"/>
  <c r="D28" i="8"/>
  <c r="E28" i="8" s="1"/>
  <c r="D27" i="8"/>
  <c r="E27" i="8" s="1"/>
  <c r="D26" i="8"/>
  <c r="E26" i="8" s="1"/>
  <c r="D25" i="8"/>
  <c r="E25" i="8" s="1"/>
  <c r="D24" i="8"/>
  <c r="E24" i="8" s="1"/>
  <c r="D23" i="8"/>
  <c r="E23" i="8" s="1"/>
  <c r="D22" i="8"/>
  <c r="E22" i="8" s="1"/>
  <c r="D21" i="8"/>
  <c r="E21" i="8" s="1"/>
  <c r="D20" i="8"/>
  <c r="E20" i="8" s="1"/>
  <c r="D19" i="8"/>
  <c r="E19" i="8" s="1"/>
  <c r="D18" i="8"/>
  <c r="E18" i="8" s="1"/>
  <c r="D17" i="8"/>
  <c r="E17" i="8" s="1"/>
  <c r="D16" i="8"/>
  <c r="E16" i="8" s="1"/>
  <c r="D15" i="8"/>
  <c r="E15" i="8" s="1"/>
  <c r="D14" i="8"/>
  <c r="E14" i="8" s="1"/>
  <c r="D13" i="8"/>
  <c r="E13" i="8" s="1"/>
  <c r="D12" i="8"/>
  <c r="E12" i="8" s="1"/>
  <c r="D11" i="8"/>
  <c r="E11" i="8" s="1"/>
  <c r="D10" i="8"/>
  <c r="E10" i="8" s="1"/>
  <c r="D9" i="8"/>
  <c r="E9" i="8" s="1"/>
  <c r="D8" i="8"/>
  <c r="E8" i="8" s="1"/>
  <c r="D7" i="8"/>
  <c r="E7" i="8" s="1"/>
  <c r="D6" i="8"/>
  <c r="E6" i="8" s="1"/>
  <c r="D5" i="8"/>
  <c r="E5" i="8" s="1"/>
  <c r="D4" i="8"/>
  <c r="E4" i="8" s="1"/>
  <c r="D102" i="7"/>
  <c r="E102" i="7" s="1"/>
  <c r="D101" i="7"/>
  <c r="E101" i="7" s="1"/>
  <c r="D100" i="7"/>
  <c r="E100" i="7" s="1"/>
  <c r="D99" i="7"/>
  <c r="E99" i="7" s="1"/>
  <c r="D98" i="7"/>
  <c r="E98" i="7" s="1"/>
  <c r="D97" i="7"/>
  <c r="E97" i="7" s="1"/>
  <c r="D96" i="7"/>
  <c r="E96" i="7" s="1"/>
  <c r="D95" i="7"/>
  <c r="E95" i="7" s="1"/>
  <c r="D94" i="7"/>
  <c r="E94" i="7" s="1"/>
  <c r="D93" i="7"/>
  <c r="E93" i="7" s="1"/>
  <c r="D92" i="7"/>
  <c r="E92" i="7" s="1"/>
  <c r="D91" i="7"/>
  <c r="E91" i="7" s="1"/>
  <c r="D90" i="7"/>
  <c r="E90" i="7" s="1"/>
  <c r="D89" i="7"/>
  <c r="E89" i="7" s="1"/>
  <c r="D88" i="7"/>
  <c r="E88" i="7" s="1"/>
  <c r="D87" i="7"/>
  <c r="E87" i="7" s="1"/>
  <c r="D86" i="7"/>
  <c r="E86" i="7" s="1"/>
  <c r="D85" i="7"/>
  <c r="E85" i="7" s="1"/>
  <c r="D84" i="7"/>
  <c r="E84" i="7" s="1"/>
  <c r="D83" i="7"/>
  <c r="E83" i="7" s="1"/>
  <c r="D82" i="7"/>
  <c r="E82" i="7" s="1"/>
  <c r="D81" i="7"/>
  <c r="E81" i="7" s="1"/>
  <c r="D80" i="7"/>
  <c r="E80" i="7" s="1"/>
  <c r="D79" i="7"/>
  <c r="E79" i="7" s="1"/>
  <c r="D78" i="7"/>
  <c r="E78" i="7" s="1"/>
  <c r="D77" i="7"/>
  <c r="E77" i="7" s="1"/>
  <c r="D76" i="7"/>
  <c r="E76" i="7" s="1"/>
  <c r="D75" i="7"/>
  <c r="E75" i="7" s="1"/>
  <c r="D74" i="7"/>
  <c r="E74" i="7" s="1"/>
  <c r="D73" i="7"/>
  <c r="E73" i="7" s="1"/>
  <c r="D72" i="7"/>
  <c r="E72" i="7" s="1"/>
  <c r="D71" i="7"/>
  <c r="E71" i="7" s="1"/>
  <c r="D70" i="7"/>
  <c r="E70" i="7" s="1"/>
  <c r="D69" i="7"/>
  <c r="E69" i="7" s="1"/>
  <c r="D68" i="7"/>
  <c r="E68" i="7" s="1"/>
  <c r="D67" i="7"/>
  <c r="E67" i="7" s="1"/>
  <c r="D66" i="7"/>
  <c r="E66" i="7" s="1"/>
  <c r="D65" i="7"/>
  <c r="E65" i="7" s="1"/>
  <c r="D64" i="7"/>
  <c r="E64" i="7" s="1"/>
  <c r="D63" i="7"/>
  <c r="E63" i="7" s="1"/>
  <c r="D62" i="7"/>
  <c r="E62" i="7" s="1"/>
  <c r="D61" i="7"/>
  <c r="E61" i="7" s="1"/>
  <c r="D60" i="7"/>
  <c r="E60" i="7" s="1"/>
  <c r="D59" i="7"/>
  <c r="E59" i="7" s="1"/>
  <c r="D58" i="7"/>
  <c r="E58" i="7" s="1"/>
  <c r="D57" i="7"/>
  <c r="E57" i="7" s="1"/>
  <c r="D56" i="7"/>
  <c r="E56" i="7" s="1"/>
  <c r="D55" i="7"/>
  <c r="E55" i="7" s="1"/>
  <c r="D54" i="7"/>
  <c r="E54" i="7" s="1"/>
  <c r="D53" i="7"/>
  <c r="E53" i="7" s="1"/>
  <c r="D52" i="7"/>
  <c r="E52" i="7" s="1"/>
  <c r="D51" i="7"/>
  <c r="E51" i="7" s="1"/>
  <c r="D50" i="7"/>
  <c r="E50" i="7" s="1"/>
  <c r="D49" i="7"/>
  <c r="E49" i="7" s="1"/>
  <c r="D48" i="7"/>
  <c r="E48" i="7" s="1"/>
  <c r="D47" i="7"/>
  <c r="E47" i="7" s="1"/>
  <c r="D46" i="7"/>
  <c r="E46" i="7" s="1"/>
  <c r="D45" i="7"/>
  <c r="E45" i="7" s="1"/>
  <c r="D44" i="7"/>
  <c r="E44" i="7" s="1"/>
  <c r="D43" i="7"/>
  <c r="E43" i="7" s="1"/>
  <c r="D42" i="7"/>
  <c r="E42" i="7" s="1"/>
  <c r="D41" i="7"/>
  <c r="E41" i="7" s="1"/>
  <c r="D40" i="7"/>
  <c r="E40" i="7" s="1"/>
  <c r="D39" i="7"/>
  <c r="E39" i="7" s="1"/>
  <c r="D38" i="7"/>
  <c r="E38" i="7" s="1"/>
  <c r="D37" i="7"/>
  <c r="E37" i="7" s="1"/>
  <c r="D36" i="7"/>
  <c r="E36" i="7" s="1"/>
  <c r="D35" i="7"/>
  <c r="E35" i="7" s="1"/>
  <c r="D34" i="7"/>
  <c r="E34" i="7" s="1"/>
  <c r="D33" i="7"/>
  <c r="E33" i="7" s="1"/>
  <c r="D32" i="7"/>
  <c r="E32" i="7" s="1"/>
  <c r="D31" i="7"/>
  <c r="E31" i="7" s="1"/>
  <c r="D30" i="7"/>
  <c r="E30" i="7" s="1"/>
  <c r="D29" i="7"/>
  <c r="E29" i="7" s="1"/>
  <c r="D28" i="7"/>
  <c r="E28" i="7" s="1"/>
  <c r="D27" i="7"/>
  <c r="E27" i="7" s="1"/>
  <c r="D26" i="7"/>
  <c r="E26" i="7" s="1"/>
  <c r="D25" i="7"/>
  <c r="E25" i="7" s="1"/>
  <c r="D24" i="7"/>
  <c r="E24" i="7" s="1"/>
  <c r="D23" i="7"/>
  <c r="E23" i="7" s="1"/>
  <c r="D22" i="7"/>
  <c r="E22" i="7" s="1"/>
  <c r="D21" i="7"/>
  <c r="E21" i="7" s="1"/>
  <c r="D20" i="7"/>
  <c r="E20" i="7" s="1"/>
  <c r="D19" i="7"/>
  <c r="E19" i="7" s="1"/>
  <c r="D18" i="7"/>
  <c r="E18" i="7" s="1"/>
  <c r="D17" i="7"/>
  <c r="E17" i="7" s="1"/>
  <c r="D16" i="7"/>
  <c r="E16" i="7" s="1"/>
  <c r="D15" i="7"/>
  <c r="E15" i="7" s="1"/>
  <c r="D14" i="7"/>
  <c r="E14" i="7" s="1"/>
  <c r="D13" i="7"/>
  <c r="E13" i="7" s="1"/>
  <c r="D12" i="7"/>
  <c r="E12" i="7" s="1"/>
  <c r="D11" i="7"/>
  <c r="E11" i="7" s="1"/>
  <c r="D10" i="7"/>
  <c r="E10" i="7" s="1"/>
  <c r="D9" i="7"/>
  <c r="E9" i="7" s="1"/>
  <c r="D8" i="7"/>
  <c r="E8" i="7" s="1"/>
  <c r="D7" i="7"/>
  <c r="E7" i="7" s="1"/>
  <c r="D6" i="7"/>
  <c r="E6" i="7" s="1"/>
  <c r="D5" i="7"/>
  <c r="E5" i="7" s="1"/>
  <c r="D4" i="7"/>
  <c r="E4" i="7" s="1"/>
  <c r="D102" i="6"/>
  <c r="E102" i="6" s="1"/>
  <c r="D101" i="6"/>
  <c r="E101" i="6" s="1"/>
  <c r="D100" i="6"/>
  <c r="E100" i="6" s="1"/>
  <c r="D99" i="6"/>
  <c r="E99" i="6" s="1"/>
  <c r="D98" i="6"/>
  <c r="E98" i="6" s="1"/>
  <c r="D97" i="6"/>
  <c r="E97" i="6" s="1"/>
  <c r="D96" i="6"/>
  <c r="E96" i="6" s="1"/>
  <c r="D95" i="6"/>
  <c r="E95" i="6" s="1"/>
  <c r="D94" i="6"/>
  <c r="E94" i="6" s="1"/>
  <c r="D93" i="6"/>
  <c r="E93" i="6" s="1"/>
  <c r="D92" i="6"/>
  <c r="E92" i="6" s="1"/>
  <c r="D91" i="6"/>
  <c r="E91" i="6" s="1"/>
  <c r="D90" i="6"/>
  <c r="E90" i="6" s="1"/>
  <c r="D89" i="6"/>
  <c r="E89" i="6" s="1"/>
  <c r="D88" i="6"/>
  <c r="E88" i="6" s="1"/>
  <c r="D87" i="6"/>
  <c r="E87" i="6" s="1"/>
  <c r="D86" i="6"/>
  <c r="E86" i="6" s="1"/>
  <c r="D85" i="6"/>
  <c r="E85" i="6" s="1"/>
  <c r="D84" i="6"/>
  <c r="E84" i="6" s="1"/>
  <c r="D83" i="6"/>
  <c r="E83" i="6" s="1"/>
  <c r="D82" i="6"/>
  <c r="E82" i="6" s="1"/>
  <c r="D81" i="6"/>
  <c r="E81" i="6" s="1"/>
  <c r="D80" i="6"/>
  <c r="E80" i="6" s="1"/>
  <c r="D79" i="6"/>
  <c r="E79" i="6" s="1"/>
  <c r="D78" i="6"/>
  <c r="E78" i="6" s="1"/>
  <c r="D77" i="6"/>
  <c r="E77" i="6" s="1"/>
  <c r="D76" i="6"/>
  <c r="E76" i="6" s="1"/>
  <c r="D75" i="6"/>
  <c r="E75" i="6" s="1"/>
  <c r="D74" i="6"/>
  <c r="E74" i="6" s="1"/>
  <c r="D73" i="6"/>
  <c r="E73" i="6" s="1"/>
  <c r="D72" i="6"/>
  <c r="E72" i="6" s="1"/>
  <c r="D71" i="6"/>
  <c r="E71" i="6" s="1"/>
  <c r="D70" i="6"/>
  <c r="E70" i="6" s="1"/>
  <c r="D69" i="6"/>
  <c r="E69" i="6" s="1"/>
  <c r="D68" i="6"/>
  <c r="E68" i="6" s="1"/>
  <c r="D67" i="6"/>
  <c r="E67" i="6" s="1"/>
  <c r="D66" i="6"/>
  <c r="E66" i="6" s="1"/>
  <c r="D65" i="6"/>
  <c r="E65" i="6" s="1"/>
  <c r="D64" i="6"/>
  <c r="E64" i="6" s="1"/>
  <c r="D63" i="6"/>
  <c r="E63" i="6" s="1"/>
  <c r="D62" i="6"/>
  <c r="E62" i="6" s="1"/>
  <c r="D61" i="6"/>
  <c r="E61" i="6" s="1"/>
  <c r="D60" i="6"/>
  <c r="E60" i="6" s="1"/>
  <c r="D59" i="6"/>
  <c r="E59" i="6" s="1"/>
  <c r="D58" i="6"/>
  <c r="E58" i="6" s="1"/>
  <c r="D57" i="6"/>
  <c r="E57" i="6" s="1"/>
  <c r="D56" i="6"/>
  <c r="E56" i="6" s="1"/>
  <c r="D55" i="6"/>
  <c r="E55" i="6" s="1"/>
  <c r="D54" i="6"/>
  <c r="E54" i="6" s="1"/>
  <c r="D53" i="6"/>
  <c r="E53" i="6" s="1"/>
  <c r="D52" i="6"/>
  <c r="E52" i="6" s="1"/>
  <c r="D51" i="6"/>
  <c r="E51" i="6" s="1"/>
  <c r="D50" i="6"/>
  <c r="E50" i="6" s="1"/>
  <c r="D49" i="6"/>
  <c r="E49" i="6" s="1"/>
  <c r="D48" i="6"/>
  <c r="E48" i="6" s="1"/>
  <c r="D47" i="6"/>
  <c r="E47" i="6" s="1"/>
  <c r="D46" i="6"/>
  <c r="E46" i="6" s="1"/>
  <c r="D45" i="6"/>
  <c r="E45" i="6" s="1"/>
  <c r="D44" i="6"/>
  <c r="E44" i="6" s="1"/>
  <c r="D43" i="6"/>
  <c r="E43" i="6" s="1"/>
  <c r="D42" i="6"/>
  <c r="E42" i="6" s="1"/>
  <c r="D41" i="6"/>
  <c r="E41" i="6" s="1"/>
  <c r="D40" i="6"/>
  <c r="E40" i="6" s="1"/>
  <c r="D39" i="6"/>
  <c r="E39" i="6" s="1"/>
  <c r="D38" i="6"/>
  <c r="E38" i="6" s="1"/>
  <c r="D37" i="6"/>
  <c r="E37" i="6" s="1"/>
  <c r="D36" i="6"/>
  <c r="E36" i="6" s="1"/>
  <c r="D35" i="6"/>
  <c r="E35" i="6" s="1"/>
  <c r="D34" i="6"/>
  <c r="E34" i="6" s="1"/>
  <c r="D33" i="6"/>
  <c r="E33" i="6" s="1"/>
  <c r="D32" i="6"/>
  <c r="E32" i="6" s="1"/>
  <c r="D31" i="6"/>
  <c r="E31" i="6" s="1"/>
  <c r="D30" i="6"/>
  <c r="E30" i="6" s="1"/>
  <c r="D29" i="6"/>
  <c r="E29" i="6" s="1"/>
  <c r="D28" i="6"/>
  <c r="E28" i="6" s="1"/>
  <c r="D27" i="6"/>
  <c r="E27" i="6" s="1"/>
  <c r="D26" i="6"/>
  <c r="E26" i="6" s="1"/>
  <c r="D25" i="6"/>
  <c r="E25" i="6" s="1"/>
  <c r="D24" i="6"/>
  <c r="E24" i="6" s="1"/>
  <c r="D23" i="6"/>
  <c r="E23" i="6" s="1"/>
  <c r="D22" i="6"/>
  <c r="E22" i="6" s="1"/>
  <c r="D21" i="6"/>
  <c r="E21" i="6" s="1"/>
  <c r="D20" i="6"/>
  <c r="E20" i="6" s="1"/>
  <c r="D19" i="6"/>
  <c r="E19" i="6" s="1"/>
  <c r="D18" i="6"/>
  <c r="E18" i="6" s="1"/>
  <c r="D17" i="6"/>
  <c r="E17" i="6" s="1"/>
  <c r="D16" i="6"/>
  <c r="E16" i="6" s="1"/>
  <c r="D15" i="6"/>
  <c r="E15" i="6" s="1"/>
  <c r="D14" i="6"/>
  <c r="E14" i="6" s="1"/>
  <c r="D13" i="6"/>
  <c r="E13" i="6" s="1"/>
  <c r="D12" i="6"/>
  <c r="E12" i="6" s="1"/>
  <c r="D11" i="6"/>
  <c r="E11" i="6" s="1"/>
  <c r="D10" i="6"/>
  <c r="E10" i="6" s="1"/>
  <c r="D9" i="6"/>
  <c r="E9" i="6" s="1"/>
  <c r="D8" i="6"/>
  <c r="E8" i="6" s="1"/>
  <c r="D7" i="6"/>
  <c r="E7" i="6" s="1"/>
  <c r="D6" i="6"/>
  <c r="E6" i="6" s="1"/>
  <c r="D5" i="6"/>
  <c r="E5" i="6" s="1"/>
  <c r="D4" i="6"/>
  <c r="E4" i="6" s="1"/>
  <c r="D102" i="5"/>
  <c r="E102" i="5" s="1"/>
  <c r="D101" i="5"/>
  <c r="E101" i="5" s="1"/>
  <c r="D100" i="5"/>
  <c r="E100" i="5" s="1"/>
  <c r="D99" i="5"/>
  <c r="E99" i="5" s="1"/>
  <c r="D98" i="5"/>
  <c r="E98" i="5" s="1"/>
  <c r="D97" i="5"/>
  <c r="E97" i="5" s="1"/>
  <c r="D96" i="5"/>
  <c r="E96" i="5" s="1"/>
  <c r="D95" i="5"/>
  <c r="E95" i="5" s="1"/>
  <c r="D94" i="5"/>
  <c r="E94" i="5" s="1"/>
  <c r="D93" i="5"/>
  <c r="E93" i="5" s="1"/>
  <c r="D92" i="5"/>
  <c r="E92" i="5" s="1"/>
  <c r="D91" i="5"/>
  <c r="E91" i="5" s="1"/>
  <c r="D90" i="5"/>
  <c r="E90" i="5" s="1"/>
  <c r="D89" i="5"/>
  <c r="E89" i="5" s="1"/>
  <c r="D88" i="5"/>
  <c r="E88" i="5" s="1"/>
  <c r="D87" i="5"/>
  <c r="E87" i="5" s="1"/>
  <c r="D86" i="5"/>
  <c r="E86" i="5" s="1"/>
  <c r="D85" i="5"/>
  <c r="E85" i="5" s="1"/>
  <c r="D84" i="5"/>
  <c r="E84" i="5" s="1"/>
  <c r="D83" i="5"/>
  <c r="E83" i="5" s="1"/>
  <c r="D82" i="5"/>
  <c r="E82" i="5" s="1"/>
  <c r="D81" i="5"/>
  <c r="E81" i="5" s="1"/>
  <c r="D80" i="5"/>
  <c r="E80" i="5" s="1"/>
  <c r="D79" i="5"/>
  <c r="E79" i="5" s="1"/>
  <c r="D78" i="5"/>
  <c r="E78" i="5" s="1"/>
  <c r="D77" i="5"/>
  <c r="E77" i="5" s="1"/>
  <c r="D76" i="5"/>
  <c r="E76" i="5" s="1"/>
  <c r="D75" i="5"/>
  <c r="E75" i="5" s="1"/>
  <c r="D74" i="5"/>
  <c r="E74" i="5" s="1"/>
  <c r="D73" i="5"/>
  <c r="E73" i="5" s="1"/>
  <c r="D72" i="5"/>
  <c r="E72" i="5" s="1"/>
  <c r="D71" i="5"/>
  <c r="E71" i="5" s="1"/>
  <c r="D70" i="5"/>
  <c r="E70" i="5" s="1"/>
  <c r="D69" i="5"/>
  <c r="E69" i="5" s="1"/>
  <c r="D68" i="5"/>
  <c r="E68" i="5" s="1"/>
  <c r="D67" i="5"/>
  <c r="E67" i="5" s="1"/>
  <c r="D66" i="5"/>
  <c r="E66" i="5" s="1"/>
  <c r="D65" i="5"/>
  <c r="E65" i="5" s="1"/>
  <c r="D64" i="5"/>
  <c r="E64" i="5" s="1"/>
  <c r="D63" i="5"/>
  <c r="E63" i="5" s="1"/>
  <c r="D62" i="5"/>
  <c r="E62" i="5" s="1"/>
  <c r="D61" i="5"/>
  <c r="E61" i="5" s="1"/>
  <c r="D60" i="5"/>
  <c r="E60" i="5" s="1"/>
  <c r="D59" i="5"/>
  <c r="E59" i="5" s="1"/>
  <c r="D58" i="5"/>
  <c r="E58" i="5" s="1"/>
  <c r="D57" i="5"/>
  <c r="E57" i="5" s="1"/>
  <c r="D56" i="5"/>
  <c r="E56" i="5" s="1"/>
  <c r="D55" i="5"/>
  <c r="E55" i="5" s="1"/>
  <c r="D54" i="5"/>
  <c r="E54" i="5" s="1"/>
  <c r="D53" i="5"/>
  <c r="E53" i="5" s="1"/>
  <c r="D52" i="5"/>
  <c r="E52" i="5" s="1"/>
  <c r="D51" i="5"/>
  <c r="E51" i="5" s="1"/>
  <c r="D50" i="5"/>
  <c r="E50" i="5" s="1"/>
  <c r="D49" i="5"/>
  <c r="E49" i="5" s="1"/>
  <c r="D48" i="5"/>
  <c r="E48" i="5" s="1"/>
  <c r="D47" i="5"/>
  <c r="E47" i="5" s="1"/>
  <c r="D46" i="5"/>
  <c r="E46" i="5" s="1"/>
  <c r="D45" i="5"/>
  <c r="E45" i="5" s="1"/>
  <c r="D44" i="5"/>
  <c r="E44" i="5" s="1"/>
  <c r="D43" i="5"/>
  <c r="E43" i="5" s="1"/>
  <c r="D42" i="5"/>
  <c r="E42" i="5" s="1"/>
  <c r="D41" i="5"/>
  <c r="E41" i="5" s="1"/>
  <c r="D40" i="5"/>
  <c r="E40" i="5" s="1"/>
  <c r="D39" i="5"/>
  <c r="E39" i="5" s="1"/>
  <c r="D38" i="5"/>
  <c r="E38" i="5" s="1"/>
  <c r="D37" i="5"/>
  <c r="E37"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D8" i="5"/>
  <c r="E8" i="5" s="1"/>
  <c r="D7" i="5"/>
  <c r="E7" i="5" s="1"/>
  <c r="D6" i="5"/>
  <c r="E6" i="5" s="1"/>
  <c r="D5" i="5"/>
  <c r="E5" i="5" s="1"/>
  <c r="D4" i="5"/>
  <c r="E4" i="5" s="1"/>
  <c r="D102" i="4"/>
  <c r="E102" i="4" s="1"/>
  <c r="D101" i="4"/>
  <c r="E101" i="4" s="1"/>
  <c r="D100" i="4"/>
  <c r="E100" i="4" s="1"/>
  <c r="D99" i="4"/>
  <c r="E99" i="4" s="1"/>
  <c r="D98" i="4"/>
  <c r="E98" i="4" s="1"/>
  <c r="D97" i="4"/>
  <c r="E97" i="4" s="1"/>
  <c r="D96" i="4"/>
  <c r="E96" i="4" s="1"/>
  <c r="D95" i="4"/>
  <c r="E95" i="4" s="1"/>
  <c r="D94" i="4"/>
  <c r="E94" i="4" s="1"/>
  <c r="D93" i="4"/>
  <c r="E93" i="4" s="1"/>
  <c r="D92" i="4"/>
  <c r="E92" i="4" s="1"/>
  <c r="D91" i="4"/>
  <c r="E91" i="4" s="1"/>
  <c r="D90" i="4"/>
  <c r="E90" i="4" s="1"/>
  <c r="D89" i="4"/>
  <c r="E89" i="4" s="1"/>
  <c r="D88" i="4"/>
  <c r="E88" i="4" s="1"/>
  <c r="D87" i="4"/>
  <c r="E87" i="4" s="1"/>
  <c r="D86" i="4"/>
  <c r="E86" i="4" s="1"/>
  <c r="D85" i="4"/>
  <c r="E85" i="4" s="1"/>
  <c r="D84" i="4"/>
  <c r="E84" i="4" s="1"/>
  <c r="D83" i="4"/>
  <c r="E83" i="4" s="1"/>
  <c r="D82" i="4"/>
  <c r="E82" i="4" s="1"/>
  <c r="D81" i="4"/>
  <c r="E81" i="4" s="1"/>
  <c r="D80" i="4"/>
  <c r="E80" i="4" s="1"/>
  <c r="D79" i="4"/>
  <c r="E79" i="4" s="1"/>
  <c r="D78" i="4"/>
  <c r="E78" i="4" s="1"/>
  <c r="D77" i="4"/>
  <c r="E77" i="4" s="1"/>
  <c r="D76" i="4"/>
  <c r="E76" i="4" s="1"/>
  <c r="D75" i="4"/>
  <c r="E75" i="4" s="1"/>
  <c r="D74" i="4"/>
  <c r="E74" i="4" s="1"/>
  <c r="D73" i="4"/>
  <c r="E73" i="4" s="1"/>
  <c r="D72" i="4"/>
  <c r="E72" i="4" s="1"/>
  <c r="D71" i="4"/>
  <c r="E71" i="4" s="1"/>
  <c r="D70" i="4"/>
  <c r="E70" i="4" s="1"/>
  <c r="D69" i="4"/>
  <c r="E69" i="4" s="1"/>
  <c r="D68" i="4"/>
  <c r="E68" i="4" s="1"/>
  <c r="D67" i="4"/>
  <c r="E67" i="4" s="1"/>
  <c r="D66" i="4"/>
  <c r="E66" i="4" s="1"/>
  <c r="D65" i="4"/>
  <c r="E65" i="4" s="1"/>
  <c r="D64" i="4"/>
  <c r="E64" i="4" s="1"/>
  <c r="D63" i="4"/>
  <c r="E63" i="4" s="1"/>
  <c r="D62" i="4"/>
  <c r="E62" i="4" s="1"/>
  <c r="D61" i="4"/>
  <c r="E61" i="4" s="1"/>
  <c r="D60" i="4"/>
  <c r="E60" i="4" s="1"/>
  <c r="D59" i="4"/>
  <c r="E59" i="4" s="1"/>
  <c r="D58" i="4"/>
  <c r="E58" i="4" s="1"/>
  <c r="D57" i="4"/>
  <c r="E57" i="4" s="1"/>
  <c r="D56" i="4"/>
  <c r="E56" i="4" s="1"/>
  <c r="D55" i="4"/>
  <c r="E55" i="4" s="1"/>
  <c r="D54" i="4"/>
  <c r="E54" i="4" s="1"/>
  <c r="D53" i="4"/>
  <c r="E53" i="4" s="1"/>
  <c r="D52" i="4"/>
  <c r="E52" i="4" s="1"/>
  <c r="D51" i="4"/>
  <c r="E51" i="4" s="1"/>
  <c r="D50" i="4"/>
  <c r="E50" i="4" s="1"/>
  <c r="D49" i="4"/>
  <c r="E49" i="4" s="1"/>
  <c r="D48" i="4"/>
  <c r="E48" i="4" s="1"/>
  <c r="D47" i="4"/>
  <c r="E47" i="4" s="1"/>
  <c r="D46" i="4"/>
  <c r="E46" i="4" s="1"/>
  <c r="D45" i="4"/>
  <c r="E45" i="4" s="1"/>
  <c r="D44" i="4"/>
  <c r="E44" i="4" s="1"/>
  <c r="D43" i="4"/>
  <c r="E43" i="4" s="1"/>
  <c r="D42" i="4"/>
  <c r="E42" i="4" s="1"/>
  <c r="D41" i="4"/>
  <c r="E41" i="4" s="1"/>
  <c r="D40" i="4"/>
  <c r="E40" i="4" s="1"/>
  <c r="D39" i="4"/>
  <c r="E39" i="4" s="1"/>
  <c r="D38" i="4"/>
  <c r="E38" i="4" s="1"/>
  <c r="D37" i="4"/>
  <c r="E37" i="4" s="1"/>
  <c r="D36" i="4"/>
  <c r="E36" i="4" s="1"/>
  <c r="D35" i="4"/>
  <c r="E35" i="4" s="1"/>
  <c r="D34" i="4"/>
  <c r="E34" i="4" s="1"/>
  <c r="D33" i="4"/>
  <c r="E33" i="4" s="1"/>
  <c r="D32" i="4"/>
  <c r="E32" i="4" s="1"/>
  <c r="D31" i="4"/>
  <c r="E31" i="4" s="1"/>
  <c r="D30" i="4"/>
  <c r="E30" i="4" s="1"/>
  <c r="D29" i="4"/>
  <c r="E29" i="4" s="1"/>
  <c r="D28" i="4"/>
  <c r="E28" i="4" s="1"/>
  <c r="D27" i="4"/>
  <c r="E27" i="4" s="1"/>
  <c r="D26" i="4"/>
  <c r="E26" i="4" s="1"/>
  <c r="D25" i="4"/>
  <c r="E25" i="4" s="1"/>
  <c r="D24" i="4"/>
  <c r="E24" i="4" s="1"/>
  <c r="D23" i="4"/>
  <c r="E23" i="4" s="1"/>
  <c r="D22" i="4"/>
  <c r="E22" i="4" s="1"/>
  <c r="D21" i="4"/>
  <c r="E21" i="4" s="1"/>
  <c r="D20" i="4"/>
  <c r="E20" i="4" s="1"/>
  <c r="D19" i="4"/>
  <c r="E19" i="4" s="1"/>
  <c r="D18" i="4"/>
  <c r="E18" i="4" s="1"/>
  <c r="D17" i="4"/>
  <c r="E17" i="4" s="1"/>
  <c r="D16" i="4"/>
  <c r="E16" i="4" s="1"/>
  <c r="D15" i="4"/>
  <c r="E15" i="4" s="1"/>
  <c r="D14" i="4"/>
  <c r="E14" i="4" s="1"/>
  <c r="D13" i="4"/>
  <c r="E13" i="4" s="1"/>
  <c r="D12" i="4"/>
  <c r="E12" i="4" s="1"/>
  <c r="D11" i="4"/>
  <c r="E11" i="4" s="1"/>
  <c r="D10" i="4"/>
  <c r="E10" i="4" s="1"/>
  <c r="D9" i="4"/>
  <c r="E9" i="4" s="1"/>
  <c r="D8" i="4"/>
  <c r="E8" i="4" s="1"/>
  <c r="D7" i="4"/>
  <c r="E7" i="4" s="1"/>
  <c r="D6" i="4"/>
  <c r="E6" i="4" s="1"/>
  <c r="D5" i="4"/>
  <c r="E5" i="4" s="1"/>
  <c r="D4" i="4"/>
  <c r="E4" i="4" s="1"/>
  <c r="B77" i="4"/>
  <c r="B28" i="4"/>
  <c r="B29" i="4"/>
  <c r="B30" i="4"/>
  <c r="B10" i="4"/>
  <c r="B38" i="4"/>
  <c r="B83" i="4"/>
  <c r="B54" i="4"/>
  <c r="B49" i="4"/>
  <c r="B17" i="4"/>
  <c r="B57" i="4"/>
  <c r="B13" i="4"/>
  <c r="B7" i="4"/>
  <c r="B11" i="4"/>
  <c r="B6" i="4"/>
  <c r="B40" i="4"/>
  <c r="B37" i="4"/>
  <c r="B55" i="4"/>
  <c r="B22" i="4"/>
  <c r="B20" i="4"/>
  <c r="B23" i="4"/>
  <c r="B8" i="4"/>
  <c r="B74" i="4"/>
  <c r="B21" i="4"/>
  <c r="B4" i="4"/>
  <c r="B5" i="4"/>
  <c r="B31" i="4"/>
  <c r="B9" i="4"/>
  <c r="B19" i="4"/>
  <c r="B44" i="4"/>
  <c r="B75" i="4"/>
  <c r="B32" i="4"/>
  <c r="B12" i="4"/>
  <c r="B76" i="4"/>
  <c r="B87" i="4"/>
  <c r="B64" i="4"/>
  <c r="B34" i="4"/>
  <c r="B25" i="4"/>
  <c r="B66" i="4"/>
  <c r="B41" i="4"/>
  <c r="B72" i="4"/>
  <c r="B58" i="4"/>
  <c r="B80" i="4"/>
  <c r="B53" i="4"/>
  <c r="B47" i="4"/>
  <c r="B33" i="4"/>
  <c r="B63" i="4"/>
  <c r="B99" i="4"/>
  <c r="B69" i="4"/>
  <c r="B45" i="4"/>
  <c r="B71" i="4"/>
  <c r="B59" i="4"/>
  <c r="B26" i="4"/>
  <c r="B18" i="4"/>
  <c r="B24" i="4"/>
  <c r="B14" i="4"/>
  <c r="B43" i="4"/>
  <c r="B70" i="4"/>
  <c r="B85" i="4"/>
  <c r="B79" i="4"/>
  <c r="B86" i="4"/>
  <c r="B84" i="4"/>
  <c r="B94" i="4"/>
  <c r="B73" i="4"/>
  <c r="B42" i="4"/>
  <c r="B36" i="4"/>
  <c r="B35" i="4"/>
  <c r="B62" i="4"/>
  <c r="B101" i="4"/>
  <c r="B88" i="4"/>
  <c r="B68" i="4"/>
  <c r="B90" i="4"/>
  <c r="B46" i="4"/>
  <c r="B27" i="4"/>
  <c r="B39" i="4"/>
  <c r="B65" i="4"/>
  <c r="B51" i="4"/>
  <c r="B16" i="4"/>
  <c r="B78" i="4"/>
  <c r="B52" i="4"/>
  <c r="B97" i="4"/>
  <c r="B50" i="4"/>
  <c r="B92" i="4"/>
  <c r="B60" i="4"/>
  <c r="B48" i="4"/>
  <c r="B81" i="4"/>
  <c r="B61" i="4"/>
  <c r="B98" i="4"/>
  <c r="B91" i="4"/>
  <c r="B95" i="4"/>
  <c r="B102" i="4"/>
  <c r="B100" i="4"/>
  <c r="B82" i="4"/>
  <c r="B67" i="4"/>
  <c r="B56" i="4"/>
  <c r="B93" i="4"/>
  <c r="B96" i="4"/>
  <c r="B89" i="4"/>
  <c r="B15" i="4"/>
  <c r="E21"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5" i="3"/>
  <c r="E4" i="3"/>
  <c r="D6" i="3"/>
  <c r="E6" i="3" s="1"/>
  <c r="D7" i="3"/>
  <c r="E7" i="3" s="1"/>
  <c r="D8" i="3"/>
  <c r="E8" i="3" s="1"/>
  <c r="D9" i="3"/>
  <c r="E9" i="3" s="1"/>
  <c r="D10" i="3"/>
  <c r="E10" i="3" s="1"/>
  <c r="D11" i="3"/>
  <c r="E11" i="3" s="1"/>
  <c r="D12" i="3"/>
  <c r="E12" i="3" s="1"/>
  <c r="D13" i="3"/>
  <c r="E13" i="3" s="1"/>
  <c r="D14" i="3"/>
  <c r="E14" i="3" s="1"/>
  <c r="D15" i="3"/>
  <c r="E15" i="3" s="1"/>
  <c r="D16" i="3"/>
  <c r="E16" i="3" s="1"/>
  <c r="D17" i="3"/>
  <c r="E17" i="3" s="1"/>
  <c r="D18" i="3"/>
  <c r="E18" i="3" s="1"/>
  <c r="D19" i="3"/>
  <c r="E19" i="3" s="1"/>
  <c r="D20" i="3"/>
  <c r="E20" i="3" s="1"/>
  <c r="D21" i="3"/>
  <c r="D22" i="3"/>
  <c r="E22" i="3" s="1"/>
  <c r="D23" i="3"/>
  <c r="E23" i="3" s="1"/>
  <c r="D24" i="3"/>
  <c r="E24" i="3" s="1"/>
  <c r="D25" i="3"/>
  <c r="E25" i="3" s="1"/>
  <c r="D26" i="3"/>
  <c r="E26" i="3" s="1"/>
  <c r="D27" i="3"/>
  <c r="E27" i="3" s="1"/>
  <c r="D28" i="3"/>
  <c r="E28" i="3" s="1"/>
  <c r="D29" i="3"/>
  <c r="E29" i="3" s="1"/>
  <c r="D30" i="3"/>
  <c r="E30" i="3" s="1"/>
  <c r="D31" i="3"/>
  <c r="E31" i="3" s="1"/>
  <c r="D32" i="3"/>
  <c r="E32" i="3" s="1"/>
  <c r="D33" i="3"/>
  <c r="E33" i="3" s="1"/>
  <c r="D34" i="3"/>
  <c r="E34" i="3" s="1"/>
  <c r="D35" i="3"/>
  <c r="E35" i="3" s="1"/>
  <c r="D36" i="3"/>
  <c r="E36" i="3" s="1"/>
  <c r="D37" i="3"/>
  <c r="E37" i="3" s="1"/>
  <c r="D38" i="3"/>
  <c r="E38" i="3" s="1"/>
  <c r="D39" i="3"/>
  <c r="E39" i="3" s="1"/>
  <c r="D40" i="3"/>
  <c r="E40" i="3" s="1"/>
  <c r="D41" i="3"/>
  <c r="E41" i="3" s="1"/>
  <c r="D42" i="3"/>
  <c r="E42" i="3" s="1"/>
  <c r="D43" i="3"/>
  <c r="E43" i="3" s="1"/>
  <c r="D44" i="3"/>
  <c r="E44" i="3" s="1"/>
  <c r="D45" i="3"/>
  <c r="E45" i="3" s="1"/>
  <c r="D46" i="3"/>
  <c r="E46" i="3" s="1"/>
  <c r="D47" i="3"/>
  <c r="E47" i="3" s="1"/>
  <c r="D48" i="3"/>
  <c r="E48" i="3" s="1"/>
  <c r="D49" i="3"/>
  <c r="E49" i="3" s="1"/>
  <c r="D50" i="3"/>
  <c r="E50" i="3" s="1"/>
  <c r="D51" i="3"/>
  <c r="E51" i="3" s="1"/>
  <c r="D52" i="3"/>
  <c r="E52" i="3" s="1"/>
  <c r="D53" i="3"/>
  <c r="E53" i="3" s="1"/>
  <c r="D54" i="3"/>
  <c r="E54" i="3" s="1"/>
  <c r="D55" i="3"/>
  <c r="E55" i="3" s="1"/>
  <c r="D56" i="3"/>
  <c r="E56" i="3" s="1"/>
  <c r="D57" i="3"/>
  <c r="E57" i="3" s="1"/>
  <c r="D58" i="3"/>
  <c r="E58" i="3" s="1"/>
  <c r="D59" i="3"/>
  <c r="E59" i="3" s="1"/>
  <c r="D60" i="3"/>
  <c r="E60" i="3" s="1"/>
  <c r="D61" i="3"/>
  <c r="E61" i="3" s="1"/>
  <c r="D62" i="3"/>
  <c r="E62" i="3" s="1"/>
  <c r="D63" i="3"/>
  <c r="E63" i="3" s="1"/>
  <c r="D64" i="3"/>
  <c r="E64" i="3" s="1"/>
  <c r="D65" i="3"/>
  <c r="E65" i="3" s="1"/>
  <c r="D66" i="3"/>
  <c r="E66" i="3" s="1"/>
  <c r="D67" i="3"/>
  <c r="E67" i="3" s="1"/>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5" i="3"/>
  <c r="D4" i="3"/>
  <c r="B68" i="3"/>
  <c r="B99" i="3"/>
  <c r="B93" i="3"/>
  <c r="B102" i="3"/>
  <c r="B101" i="3"/>
  <c r="B77" i="3"/>
  <c r="B46" i="3"/>
  <c r="B43" i="3"/>
  <c r="B90" i="3"/>
  <c r="B88" i="3"/>
  <c r="B64" i="3"/>
  <c r="B57" i="3"/>
  <c r="B30" i="3"/>
  <c r="B29" i="3"/>
  <c r="B9" i="3"/>
  <c r="B5" i="3"/>
  <c r="B16" i="3"/>
  <c r="B76" i="3"/>
  <c r="B24" i="3"/>
  <c r="B32" i="3"/>
  <c r="B10" i="3"/>
  <c r="B42" i="3"/>
  <c r="B12" i="3"/>
  <c r="B7" i="3"/>
  <c r="B13" i="3"/>
  <c r="B17" i="3"/>
  <c r="B54" i="3"/>
  <c r="B34" i="3"/>
  <c r="B51" i="3"/>
  <c r="B18" i="3"/>
  <c r="B21" i="3"/>
  <c r="B38" i="3"/>
  <c r="B11" i="3"/>
  <c r="B81" i="3"/>
  <c r="B15" i="3"/>
  <c r="B4" i="3"/>
  <c r="B8" i="3"/>
  <c r="B53" i="3"/>
  <c r="B25" i="3"/>
  <c r="B48" i="3"/>
  <c r="B41" i="3"/>
  <c r="B80" i="3"/>
  <c r="B33" i="3"/>
  <c r="B20" i="3"/>
  <c r="B74" i="3"/>
  <c r="B91" i="3"/>
  <c r="B73" i="3"/>
  <c r="B37" i="3"/>
  <c r="B22" i="3"/>
  <c r="B56" i="3"/>
  <c r="B35" i="3"/>
  <c r="B72" i="3"/>
  <c r="B70" i="3"/>
  <c r="B82" i="3"/>
  <c r="B52" i="3"/>
  <c r="B63" i="3"/>
  <c r="B36" i="3"/>
  <c r="B58" i="3"/>
  <c r="B95" i="3"/>
  <c r="B61" i="3"/>
  <c r="B44" i="3"/>
  <c r="B75" i="3"/>
  <c r="B62" i="3"/>
  <c r="B40" i="3"/>
  <c r="B39" i="3"/>
  <c r="B26" i="3"/>
  <c r="B14" i="3"/>
  <c r="B47" i="3"/>
  <c r="B78" i="3"/>
  <c r="B85" i="3"/>
  <c r="B83" i="3"/>
  <c r="B94" i="3"/>
  <c r="B92" i="3"/>
  <c r="B89" i="3"/>
  <c r="B66" i="3"/>
  <c r="B27" i="3"/>
  <c r="B19" i="3"/>
  <c r="B23" i="3"/>
  <c r="B59" i="3"/>
  <c r="B100" i="3"/>
  <c r="B86" i="3"/>
  <c r="B60" i="3"/>
  <c r="B84" i="3"/>
  <c r="B49" i="3"/>
  <c r="B31" i="3"/>
  <c r="B50" i="3"/>
  <c r="B65" i="3"/>
  <c r="B45" i="3"/>
  <c r="B6" i="3"/>
  <c r="B79" i="3"/>
  <c r="B55" i="3"/>
  <c r="B98" i="3"/>
  <c r="B71" i="3"/>
  <c r="B96" i="3"/>
  <c r="B67" i="3"/>
  <c r="B69" i="3"/>
  <c r="B87" i="3"/>
  <c r="B28" i="3"/>
  <c r="B8" i="2"/>
  <c r="B97" i="3" s="1"/>
  <c r="K5" i="2"/>
  <c r="B71" i="12" s="1"/>
  <c r="K6" i="2"/>
  <c r="B89" i="12" s="1"/>
  <c r="K7" i="2"/>
  <c r="B87" i="12" s="1"/>
  <c r="K8" i="2"/>
  <c r="B94" i="12" s="1"/>
  <c r="K9" i="2"/>
  <c r="B101" i="12" s="1"/>
  <c r="K10" i="2"/>
  <c r="B102" i="12" s="1"/>
  <c r="K11" i="2"/>
  <c r="B93" i="12" s="1"/>
  <c r="K12" i="2"/>
  <c r="B92" i="12" s="1"/>
  <c r="K13" i="2"/>
  <c r="B88" i="12" s="1"/>
  <c r="K14" i="2"/>
  <c r="B97" i="12" s="1"/>
  <c r="K15" i="2"/>
  <c r="B100" i="12" s="1"/>
  <c r="K16" i="2"/>
  <c r="B96" i="12" s="1"/>
  <c r="K17" i="2"/>
  <c r="B90" i="12" s="1"/>
  <c r="K18" i="2"/>
  <c r="B86" i="12" s="1"/>
  <c r="K19" i="2"/>
  <c r="B76" i="12" s="1"/>
  <c r="K20" i="2"/>
  <c r="B83" i="12" s="1"/>
  <c r="K21" i="2"/>
  <c r="B72" i="12" s="1"/>
  <c r="K22" i="2"/>
  <c r="B77" i="12" s="1"/>
  <c r="K23" i="2"/>
  <c r="B84" i="12" s="1"/>
  <c r="K24" i="2"/>
  <c r="B66" i="12" s="1"/>
  <c r="K25" i="2"/>
  <c r="B73" i="12" s="1"/>
  <c r="K26" i="2"/>
  <c r="B51" i="12" s="1"/>
  <c r="K27" i="2"/>
  <c r="B63" i="12" s="1"/>
  <c r="K28" i="2"/>
  <c r="B47" i="12" s="1"/>
  <c r="K29" i="2"/>
  <c r="B26" i="12" s="1"/>
  <c r="K30" i="2"/>
  <c r="B38" i="12" s="1"/>
  <c r="K31" i="2"/>
  <c r="B27" i="12" s="1"/>
  <c r="K32" i="2"/>
  <c r="B54" i="12" s="1"/>
  <c r="K33" i="2"/>
  <c r="B25" i="12" s="1"/>
  <c r="K34" i="2"/>
  <c r="B50" i="12" s="1"/>
  <c r="K35" i="2"/>
  <c r="B34" i="12" s="1"/>
  <c r="K36" i="2"/>
  <c r="B29" i="12" s="1"/>
  <c r="K37" i="2"/>
  <c r="B31" i="12" s="1"/>
  <c r="K38" i="2"/>
  <c r="B20" i="12" s="1"/>
  <c r="K39" i="2"/>
  <c r="B52" i="12" s="1"/>
  <c r="K40" i="2"/>
  <c r="B15" i="12" s="1"/>
  <c r="K41" i="2"/>
  <c r="B6" i="12" s="1"/>
  <c r="K42" i="2"/>
  <c r="B12" i="12" s="1"/>
  <c r="K43" i="2"/>
  <c r="B37" i="12" s="1"/>
  <c r="K44" i="2"/>
  <c r="B11" i="12" s="1"/>
  <c r="K45" i="2"/>
  <c r="B17" i="12" s="1"/>
  <c r="K46" i="2"/>
  <c r="B14" i="12" s="1"/>
  <c r="K47" i="2"/>
  <c r="B44" i="12" s="1"/>
  <c r="K48" i="2"/>
  <c r="B45" i="12" s="1"/>
  <c r="K49" i="2"/>
  <c r="B13" i="12" s="1"/>
  <c r="K50" i="2"/>
  <c r="B58" i="12" s="1"/>
  <c r="K51" i="2"/>
  <c r="B69" i="12" s="1"/>
  <c r="K52" i="2"/>
  <c r="B57" i="12" s="1"/>
  <c r="K53" i="2"/>
  <c r="B42" i="12" s="1"/>
  <c r="K54" i="2"/>
  <c r="B10" i="12" s="1"/>
  <c r="K55" i="2"/>
  <c r="B41" i="12" s="1"/>
  <c r="K56" i="2"/>
  <c r="B32" i="12" s="1"/>
  <c r="K57" i="2"/>
  <c r="B55" i="12" s="1"/>
  <c r="K58" i="2"/>
  <c r="B21" i="12" s="1"/>
  <c r="K59" i="2"/>
  <c r="B35" i="12" s="1"/>
  <c r="K60" i="2"/>
  <c r="B24" i="12" s="1"/>
  <c r="K61" i="2"/>
  <c r="B16" i="12" s="1"/>
  <c r="K62" i="2"/>
  <c r="B5" i="12" s="1"/>
  <c r="K63" i="2"/>
  <c r="B28" i="12" s="1"/>
  <c r="K64" i="2"/>
  <c r="B62" i="12" s="1"/>
  <c r="K65" i="2"/>
  <c r="B22" i="12" s="1"/>
  <c r="K66" i="2"/>
  <c r="B8" i="12" s="1"/>
  <c r="K67" i="2"/>
  <c r="B36" i="12" s="1"/>
  <c r="K68" i="2"/>
  <c r="B53" i="12" s="1"/>
  <c r="K69" i="2"/>
  <c r="B46" i="12" s="1"/>
  <c r="K70" i="2"/>
  <c r="B23" i="12" s="1"/>
  <c r="K71" i="2"/>
  <c r="B7" i="12" s="1"/>
  <c r="K72" i="2"/>
  <c r="B4" i="12" s="1"/>
  <c r="K73" i="2"/>
  <c r="B9" i="12" s="1"/>
  <c r="K74" i="2"/>
  <c r="B33" i="12" s="1"/>
  <c r="K75" i="2"/>
  <c r="B56" i="12" s="1"/>
  <c r="K76" i="2"/>
  <c r="B30" i="12" s="1"/>
  <c r="K77" i="2"/>
  <c r="B59" i="12" s="1"/>
  <c r="K78" i="2"/>
  <c r="B70" i="12" s="1"/>
  <c r="K79" i="2"/>
  <c r="B80" i="12" s="1"/>
  <c r="K80" i="2"/>
  <c r="B68" i="12" s="1"/>
  <c r="K81" i="2"/>
  <c r="B43" i="12" s="1"/>
  <c r="K82" i="2"/>
  <c r="B19" i="12" s="1"/>
  <c r="K83" i="2"/>
  <c r="B18" i="12" s="1"/>
  <c r="K84" i="2"/>
  <c r="B49" i="12" s="1"/>
  <c r="K85" i="2"/>
  <c r="B99" i="12" s="1"/>
  <c r="K86" i="2"/>
  <c r="B98" i="12" s="1"/>
  <c r="K87" i="2"/>
  <c r="B85" i="12" s="1"/>
  <c r="K88" i="2"/>
  <c r="B91" i="12" s="1"/>
  <c r="K89" i="2"/>
  <c r="B75" i="12" s="1"/>
  <c r="K90" i="2"/>
  <c r="B48" i="12" s="1"/>
  <c r="K91" i="2"/>
  <c r="B39" i="12" s="1"/>
  <c r="K92" i="2"/>
  <c r="B67" i="12" s="1"/>
  <c r="K93" i="2"/>
  <c r="B81" i="12" s="1"/>
  <c r="K94" i="2"/>
  <c r="B40" i="12" s="1"/>
  <c r="K95" i="2"/>
  <c r="B65" i="12" s="1"/>
  <c r="K96" i="2"/>
  <c r="B61" i="12" s="1"/>
  <c r="K97" i="2"/>
  <c r="B95" i="12" s="1"/>
  <c r="K98" i="2"/>
  <c r="B78" i="12" s="1"/>
  <c r="K99" i="2"/>
  <c r="B82" i="12" s="1"/>
  <c r="K100" i="2"/>
  <c r="B74" i="12" s="1"/>
  <c r="K101" i="2"/>
  <c r="B64" i="12" s="1"/>
  <c r="K102" i="2"/>
  <c r="B79" i="12" s="1"/>
  <c r="J5" i="2"/>
  <c r="B75" i="11" s="1"/>
  <c r="J6" i="2"/>
  <c r="B89" i="11" s="1"/>
  <c r="J7" i="2"/>
  <c r="B87" i="11" s="1"/>
  <c r="J8" i="2"/>
  <c r="B100" i="11" s="1"/>
  <c r="J9" i="2"/>
  <c r="B101" i="11" s="1"/>
  <c r="J10" i="2"/>
  <c r="B102" i="11" s="1"/>
  <c r="J11" i="2"/>
  <c r="B95" i="11" s="1"/>
  <c r="J12" i="2"/>
  <c r="B93" i="11" s="1"/>
  <c r="J13" i="2"/>
  <c r="B86" i="11" s="1"/>
  <c r="J14" i="2"/>
  <c r="B92" i="11" s="1"/>
  <c r="J15" i="2"/>
  <c r="B96" i="11" s="1"/>
  <c r="J16" i="2"/>
  <c r="B94" i="11" s="1"/>
  <c r="J17" i="2"/>
  <c r="B88" i="11" s="1"/>
  <c r="J18" i="2"/>
  <c r="B69" i="11" s="1"/>
  <c r="J19" i="2"/>
  <c r="B54" i="11" s="1"/>
  <c r="J20" i="2"/>
  <c r="B80" i="11" s="1"/>
  <c r="J21" i="2"/>
  <c r="B49" i="11" s="1"/>
  <c r="J22" i="2"/>
  <c r="B61" i="11" s="1"/>
  <c r="J23" i="2"/>
  <c r="B82" i="11" s="1"/>
  <c r="J24" i="2"/>
  <c r="B52" i="11" s="1"/>
  <c r="J25" i="2"/>
  <c r="B65" i="11" s="1"/>
  <c r="J26" i="2"/>
  <c r="B37" i="11" s="1"/>
  <c r="J27" i="2"/>
  <c r="B64" i="11" s="1"/>
  <c r="J28" i="2"/>
  <c r="B51" i="11" s="1"/>
  <c r="J29" i="2"/>
  <c r="B9" i="11" s="1"/>
  <c r="J30" i="2"/>
  <c r="B25" i="11" s="1"/>
  <c r="J31" i="2"/>
  <c r="B15" i="11" s="1"/>
  <c r="J32" i="2"/>
  <c r="B62" i="11" s="1"/>
  <c r="J33" i="2"/>
  <c r="B28" i="11" s="1"/>
  <c r="J34" i="2"/>
  <c r="B42" i="11" s="1"/>
  <c r="J35" i="2"/>
  <c r="B23" i="11" s="1"/>
  <c r="J36" i="2"/>
  <c r="B20" i="11" s="1"/>
  <c r="J37" i="2"/>
  <c r="B35" i="11" s="1"/>
  <c r="J38" i="2"/>
  <c r="B7" i="11" s="1"/>
  <c r="J39" i="2"/>
  <c r="B55" i="11" s="1"/>
  <c r="J40" i="2"/>
  <c r="B13" i="11" s="1"/>
  <c r="J41" i="2"/>
  <c r="B4" i="11" s="1"/>
  <c r="J42" i="2"/>
  <c r="B11" i="11" s="1"/>
  <c r="J43" i="2"/>
  <c r="B45" i="11" s="1"/>
  <c r="J44" i="2"/>
  <c r="B18" i="11" s="1"/>
  <c r="J45" i="2"/>
  <c r="B30" i="11" s="1"/>
  <c r="J46" i="2"/>
  <c r="B27" i="11" s="1"/>
  <c r="J47" i="2"/>
  <c r="B57" i="11" s="1"/>
  <c r="J48" i="2"/>
  <c r="B53" i="11" s="1"/>
  <c r="J49" i="2"/>
  <c r="B12" i="11" s="1"/>
  <c r="J50" i="2"/>
  <c r="B58" i="11" s="1"/>
  <c r="J51" i="2"/>
  <c r="B72" i="11" s="1"/>
  <c r="J52" i="2"/>
  <c r="B60" i="11" s="1"/>
  <c r="J53" i="2"/>
  <c r="B38" i="11" s="1"/>
  <c r="J54" i="2"/>
  <c r="B5" i="11" s="1"/>
  <c r="J55" i="2"/>
  <c r="B33" i="11" s="1"/>
  <c r="J56" i="2"/>
  <c r="B29" i="11" s="1"/>
  <c r="J57" i="2"/>
  <c r="B59" i="11" s="1"/>
  <c r="J58" i="2"/>
  <c r="B21" i="11" s="1"/>
  <c r="J59" i="2"/>
  <c r="B48" i="11" s="1"/>
  <c r="J60" i="2"/>
  <c r="B19" i="11" s="1"/>
  <c r="J61" i="2"/>
  <c r="B31" i="11" s="1"/>
  <c r="J62" i="2"/>
  <c r="B8" i="11" s="1"/>
  <c r="J63" i="2"/>
  <c r="B41" i="11" s="1"/>
  <c r="J64" i="2"/>
  <c r="B79" i="11" s="1"/>
  <c r="J65" i="2"/>
  <c r="B47" i="11" s="1"/>
  <c r="J66" i="2"/>
  <c r="B22" i="11" s="1"/>
  <c r="J67" i="2"/>
  <c r="B40" i="11" s="1"/>
  <c r="J68" i="2"/>
  <c r="B46" i="11" s="1"/>
  <c r="J69" i="2"/>
  <c r="B14" i="11" s="1"/>
  <c r="J70" i="2"/>
  <c r="B10" i="11" s="1"/>
  <c r="J71" i="2"/>
  <c r="B17" i="11" s="1"/>
  <c r="J72" i="2"/>
  <c r="B6" i="11" s="1"/>
  <c r="J73" i="2"/>
  <c r="B16" i="11" s="1"/>
  <c r="J74" i="2"/>
  <c r="B39" i="11" s="1"/>
  <c r="J75" i="2"/>
  <c r="B56" i="11" s="1"/>
  <c r="J76" i="2"/>
  <c r="B26" i="11" s="1"/>
  <c r="J77" i="2"/>
  <c r="B67" i="11" s="1"/>
  <c r="J78" i="2"/>
  <c r="B76" i="11" s="1"/>
  <c r="J79" i="2"/>
  <c r="B90" i="11" s="1"/>
  <c r="J80" i="2"/>
  <c r="B77" i="11" s="1"/>
  <c r="J81" i="2"/>
  <c r="B43" i="11" s="1"/>
  <c r="J82" i="2"/>
  <c r="B32" i="11" s="1"/>
  <c r="J83" i="2"/>
  <c r="B24" i="11" s="1"/>
  <c r="J84" i="2"/>
  <c r="B71" i="11" s="1"/>
  <c r="J85" i="2"/>
  <c r="B98" i="11" s="1"/>
  <c r="J86" i="2"/>
  <c r="B99" i="11" s="1"/>
  <c r="J87" i="2"/>
  <c r="B85" i="11" s="1"/>
  <c r="J88" i="2"/>
  <c r="B91" i="11" s="1"/>
  <c r="J89" i="2"/>
  <c r="B63" i="11" s="1"/>
  <c r="J90" i="2"/>
  <c r="B44" i="11" s="1"/>
  <c r="J91" i="2"/>
  <c r="B36" i="11" s="1"/>
  <c r="J92" i="2"/>
  <c r="B70" i="11" s="1"/>
  <c r="J93" i="2"/>
  <c r="B78" i="11" s="1"/>
  <c r="J94" i="2"/>
  <c r="B34" i="11" s="1"/>
  <c r="J95" i="2"/>
  <c r="B68" i="11" s="1"/>
  <c r="J96" i="2"/>
  <c r="B66" i="11" s="1"/>
  <c r="J97" i="2"/>
  <c r="B97" i="11" s="1"/>
  <c r="J98" i="2"/>
  <c r="B83" i="11" s="1"/>
  <c r="J99" i="2"/>
  <c r="B84" i="11" s="1"/>
  <c r="J100" i="2"/>
  <c r="B74" i="11" s="1"/>
  <c r="J101" i="2"/>
  <c r="B73" i="11" s="1"/>
  <c r="J102" i="2"/>
  <c r="B81" i="11" s="1"/>
  <c r="I5" i="2"/>
  <c r="B54" i="10" s="1"/>
  <c r="I6" i="2"/>
  <c r="B89" i="10" s="1"/>
  <c r="I7" i="2"/>
  <c r="B84" i="10" s="1"/>
  <c r="I8" i="2"/>
  <c r="B97" i="10" s="1"/>
  <c r="I9" i="2"/>
  <c r="B101" i="10" s="1"/>
  <c r="I10" i="2"/>
  <c r="B102" i="10" s="1"/>
  <c r="I11" i="2"/>
  <c r="B96" i="10" s="1"/>
  <c r="I12" i="2"/>
  <c r="B92" i="10" s="1"/>
  <c r="I13" i="2"/>
  <c r="B88" i="10" s="1"/>
  <c r="I14" i="2"/>
  <c r="B95" i="10" s="1"/>
  <c r="I15" i="2"/>
  <c r="B94" i="10" s="1"/>
  <c r="I16" i="2"/>
  <c r="B93" i="10" s="1"/>
  <c r="I17" i="2"/>
  <c r="B87" i="10" s="1"/>
  <c r="I18" i="2"/>
  <c r="B72" i="10" s="1"/>
  <c r="I19" i="2"/>
  <c r="B42" i="10" s="1"/>
  <c r="I20" i="2"/>
  <c r="B67" i="10" s="1"/>
  <c r="I21" i="2"/>
  <c r="B35" i="10" s="1"/>
  <c r="I22" i="2"/>
  <c r="B55" i="10" s="1"/>
  <c r="I23" i="2"/>
  <c r="B83" i="10" s="1"/>
  <c r="I24" i="2"/>
  <c r="B52" i="10" s="1"/>
  <c r="I25" i="2"/>
  <c r="B71" i="10" s="1"/>
  <c r="I26" i="2"/>
  <c r="B43" i="10" s="1"/>
  <c r="I27" i="2"/>
  <c r="B70" i="10" s="1"/>
  <c r="I28" i="2"/>
  <c r="B41" i="10" s="1"/>
  <c r="I29" i="2"/>
  <c r="B9" i="10" s="1"/>
  <c r="I30" i="2"/>
  <c r="B19" i="10" s="1"/>
  <c r="I31" i="2"/>
  <c r="B39" i="10" s="1"/>
  <c r="I32" i="2"/>
  <c r="B64" i="10" s="1"/>
  <c r="I33" i="2"/>
  <c r="B24" i="10" s="1"/>
  <c r="I34" i="2"/>
  <c r="B50" i="10" s="1"/>
  <c r="I35" i="2"/>
  <c r="B22" i="10" s="1"/>
  <c r="I36" i="2"/>
  <c r="B29" i="10" s="1"/>
  <c r="I37" i="2"/>
  <c r="B30" i="10" s="1"/>
  <c r="I38" i="2"/>
  <c r="B10" i="10" s="1"/>
  <c r="I39" i="2"/>
  <c r="B65" i="10" s="1"/>
  <c r="I40" i="2"/>
  <c r="B40" i="10" s="1"/>
  <c r="I41" i="2"/>
  <c r="B13" i="10" s="1"/>
  <c r="I42" i="2"/>
  <c r="B7" i="10" s="1"/>
  <c r="I43" i="2"/>
  <c r="B49" i="10" s="1"/>
  <c r="I44" i="2"/>
  <c r="B14" i="10" s="1"/>
  <c r="I45" i="2"/>
  <c r="B23" i="10" s="1"/>
  <c r="I46" i="2"/>
  <c r="B32" i="10" s="1"/>
  <c r="I47" i="2"/>
  <c r="B59" i="10" s="1"/>
  <c r="I48" i="2"/>
  <c r="B17" i="10" s="1"/>
  <c r="I49" i="2"/>
  <c r="B5" i="10" s="1"/>
  <c r="I50" i="2"/>
  <c r="B56" i="10" s="1"/>
  <c r="I51" i="2"/>
  <c r="B78" i="10" s="1"/>
  <c r="I52" i="2"/>
  <c r="B63" i="10" s="1"/>
  <c r="I53" i="2"/>
  <c r="B36" i="10" s="1"/>
  <c r="I54" i="2"/>
  <c r="B4" i="10" s="1"/>
  <c r="I55" i="2"/>
  <c r="B18" i="10" s="1"/>
  <c r="I56" i="2"/>
  <c r="B20" i="10" s="1"/>
  <c r="I57" i="2"/>
  <c r="B58" i="10" s="1"/>
  <c r="I58" i="2"/>
  <c r="B27" i="10" s="1"/>
  <c r="I59" i="2"/>
  <c r="B62" i="10" s="1"/>
  <c r="I60" i="2"/>
  <c r="B34" i="10" s="1"/>
  <c r="I61" i="2"/>
  <c r="B26" i="10" s="1"/>
  <c r="I62" i="2"/>
  <c r="B8" i="10" s="1"/>
  <c r="I63" i="2"/>
  <c r="B38" i="10" s="1"/>
  <c r="I64" i="2"/>
  <c r="B82" i="10" s="1"/>
  <c r="I65" i="2"/>
  <c r="B44" i="10" s="1"/>
  <c r="I66" i="2"/>
  <c r="B28" i="10" s="1"/>
  <c r="I67" i="2"/>
  <c r="B48" i="10" s="1"/>
  <c r="I68" i="2"/>
  <c r="B45" i="10" s="1"/>
  <c r="I69" i="2"/>
  <c r="B12" i="10" s="1"/>
  <c r="I70" i="2"/>
  <c r="B6" i="10" s="1"/>
  <c r="I71" i="2"/>
  <c r="B16" i="10" s="1"/>
  <c r="I72" i="2"/>
  <c r="B11" i="10" s="1"/>
  <c r="I73" i="2"/>
  <c r="B33" i="10" s="1"/>
  <c r="I74" i="2"/>
  <c r="B60" i="10" s="1"/>
  <c r="I75" i="2"/>
  <c r="B73" i="10" s="1"/>
  <c r="I76" i="2"/>
  <c r="B47" i="10" s="1"/>
  <c r="I77" i="2"/>
  <c r="B79" i="10" s="1"/>
  <c r="I78" i="2"/>
  <c r="B80" i="10" s="1"/>
  <c r="I79" i="2"/>
  <c r="B91" i="10" s="1"/>
  <c r="I80" i="2"/>
  <c r="B76" i="10" s="1"/>
  <c r="I81" i="2"/>
  <c r="B51" i="10" s="1"/>
  <c r="I82" i="2"/>
  <c r="B31" i="10" s="1"/>
  <c r="I83" i="2"/>
  <c r="B21" i="10" s="1"/>
  <c r="I84" i="2"/>
  <c r="B66" i="10" s="1"/>
  <c r="I85" i="2"/>
  <c r="B100" i="10" s="1"/>
  <c r="I86" i="2"/>
  <c r="B99" i="10" s="1"/>
  <c r="I87" i="2"/>
  <c r="B85" i="10" s="1"/>
  <c r="I88" i="2"/>
  <c r="B90" i="10" s="1"/>
  <c r="I89" i="2"/>
  <c r="B53" i="10" s="1"/>
  <c r="I90" i="2"/>
  <c r="B46" i="10" s="1"/>
  <c r="I91" i="2"/>
  <c r="B37" i="10" s="1"/>
  <c r="I92" i="2"/>
  <c r="B68" i="10" s="1"/>
  <c r="I93" i="2"/>
  <c r="B61" i="10" s="1"/>
  <c r="I94" i="2"/>
  <c r="B15" i="10" s="1"/>
  <c r="I95" i="2"/>
  <c r="B74" i="10" s="1"/>
  <c r="I96" i="2"/>
  <c r="B57" i="10" s="1"/>
  <c r="I97" i="2"/>
  <c r="B98" i="10" s="1"/>
  <c r="I98" i="2"/>
  <c r="B75" i="10" s="1"/>
  <c r="I99" i="2"/>
  <c r="B86" i="10" s="1"/>
  <c r="I100" i="2"/>
  <c r="B77" i="10" s="1"/>
  <c r="I101" i="2"/>
  <c r="B69" i="10" s="1"/>
  <c r="I102" i="2"/>
  <c r="B81" i="10" s="1"/>
  <c r="H5" i="2"/>
  <c r="B28" i="9" s="1"/>
  <c r="H6" i="2"/>
  <c r="B92" i="9" s="1"/>
  <c r="H7" i="2"/>
  <c r="B79" i="9" s="1"/>
  <c r="H8" i="2"/>
  <c r="B99" i="9" s="1"/>
  <c r="H9" i="2"/>
  <c r="B102" i="9" s="1"/>
  <c r="H10" i="2"/>
  <c r="B101" i="9" s="1"/>
  <c r="H11" i="2"/>
  <c r="B96" i="9" s="1"/>
  <c r="H12" i="2"/>
  <c r="B90" i="9" s="1"/>
  <c r="H13" i="2"/>
  <c r="B80" i="9" s="1"/>
  <c r="H14" i="2"/>
  <c r="B93" i="9" s="1"/>
  <c r="H15" i="2"/>
  <c r="B94" i="9" s="1"/>
  <c r="H16" i="2"/>
  <c r="B95" i="9" s="1"/>
  <c r="H17" i="2"/>
  <c r="B87" i="9" s="1"/>
  <c r="H18" i="2"/>
  <c r="B70" i="9" s="1"/>
  <c r="H19" i="2"/>
  <c r="B57" i="9" s="1"/>
  <c r="H20" i="2"/>
  <c r="B77" i="9" s="1"/>
  <c r="H21" i="2"/>
  <c r="B48" i="9" s="1"/>
  <c r="H22" i="2"/>
  <c r="B50" i="9" s="1"/>
  <c r="H23" i="2"/>
  <c r="B84" i="9" s="1"/>
  <c r="H24" i="2"/>
  <c r="B42" i="9" s="1"/>
  <c r="H25" i="2"/>
  <c r="B68" i="9" s="1"/>
  <c r="H26" i="2"/>
  <c r="B38" i="9" s="1"/>
  <c r="H27" i="2"/>
  <c r="B64" i="9" s="1"/>
  <c r="H28" i="2"/>
  <c r="B44" i="9" s="1"/>
  <c r="H29" i="2"/>
  <c r="B13" i="9" s="1"/>
  <c r="H30" i="2"/>
  <c r="B22" i="9" s="1"/>
  <c r="H31" i="2"/>
  <c r="B15" i="9" s="1"/>
  <c r="H32" i="2"/>
  <c r="B63" i="9" s="1"/>
  <c r="H33" i="2"/>
  <c r="B45" i="9" s="1"/>
  <c r="H34" i="2"/>
  <c r="B61" i="9" s="1"/>
  <c r="H35" i="2"/>
  <c r="B18" i="9" s="1"/>
  <c r="H36" i="2"/>
  <c r="B29" i="9" s="1"/>
  <c r="H37" i="2"/>
  <c r="B24" i="9" s="1"/>
  <c r="H38" i="2"/>
  <c r="B5" i="9" s="1"/>
  <c r="H39" i="2"/>
  <c r="B53" i="9" s="1"/>
  <c r="H40" i="2"/>
  <c r="B14" i="9" s="1"/>
  <c r="H41" i="2"/>
  <c r="B4" i="9" s="1"/>
  <c r="H42" i="2"/>
  <c r="B10" i="9" s="1"/>
  <c r="H43" i="2"/>
  <c r="B47" i="9" s="1"/>
  <c r="H44" i="2"/>
  <c r="B16" i="9" s="1"/>
  <c r="H45" i="2"/>
  <c r="B21" i="9" s="1"/>
  <c r="H46" i="2"/>
  <c r="B31" i="9" s="1"/>
  <c r="H47" i="2"/>
  <c r="B60" i="9" s="1"/>
  <c r="H48" i="2"/>
  <c r="B26" i="9" s="1"/>
  <c r="H49" i="2"/>
  <c r="B11" i="9" s="1"/>
  <c r="H50" i="2"/>
  <c r="B58" i="9" s="1"/>
  <c r="H51" i="2"/>
  <c r="B74" i="9" s="1"/>
  <c r="H52" i="2"/>
  <c r="B51" i="9" s="1"/>
  <c r="H53" i="2"/>
  <c r="B30" i="9" s="1"/>
  <c r="H54" i="2"/>
  <c r="B6" i="9" s="1"/>
  <c r="H55" i="2"/>
  <c r="B17" i="9" s="1"/>
  <c r="H56" i="2"/>
  <c r="B25" i="9" s="1"/>
  <c r="H57" i="2"/>
  <c r="B65" i="9" s="1"/>
  <c r="H58" i="2"/>
  <c r="B40" i="9" s="1"/>
  <c r="H59" i="2"/>
  <c r="B72" i="9" s="1"/>
  <c r="H60" i="2"/>
  <c r="B41" i="9" s="1"/>
  <c r="H61" i="2"/>
  <c r="B33" i="9" s="1"/>
  <c r="H62" i="2"/>
  <c r="B19" i="9" s="1"/>
  <c r="H63" i="2"/>
  <c r="B54" i="9" s="1"/>
  <c r="H64" i="2"/>
  <c r="B85" i="9" s="1"/>
  <c r="H65" i="2"/>
  <c r="B59" i="9" s="1"/>
  <c r="H66" i="2"/>
  <c r="B35" i="9" s="1"/>
  <c r="H67" i="2"/>
  <c r="B62" i="9" s="1"/>
  <c r="H68" i="2"/>
  <c r="B43" i="9" s="1"/>
  <c r="H69" i="2"/>
  <c r="B8" i="9" s="1"/>
  <c r="H70" i="2"/>
  <c r="B12" i="9" s="1"/>
  <c r="H71" i="2"/>
  <c r="B20" i="9" s="1"/>
  <c r="H72" i="2"/>
  <c r="B7" i="9" s="1"/>
  <c r="H73" i="2"/>
  <c r="B27" i="9" s="1"/>
  <c r="H74" i="2"/>
  <c r="B56" i="9" s="1"/>
  <c r="H75" i="2"/>
  <c r="B83" i="9" s="1"/>
  <c r="H76" i="2"/>
  <c r="B69" i="9" s="1"/>
  <c r="H77" i="2"/>
  <c r="B78" i="9" s="1"/>
  <c r="H78" i="2"/>
  <c r="B82" i="9" s="1"/>
  <c r="H79" i="2"/>
  <c r="B91" i="9" s="1"/>
  <c r="H80" i="2"/>
  <c r="B71" i="9" s="1"/>
  <c r="H81" i="2"/>
  <c r="B39" i="9" s="1"/>
  <c r="H82" i="2"/>
  <c r="B34" i="9" s="1"/>
  <c r="H83" i="2"/>
  <c r="B32" i="9" s="1"/>
  <c r="H84" i="2"/>
  <c r="B81" i="9" s="1"/>
  <c r="H85" i="2"/>
  <c r="B100" i="9" s="1"/>
  <c r="H86" i="2"/>
  <c r="B97" i="9" s="1"/>
  <c r="H87" i="2"/>
  <c r="B89" i="9" s="1"/>
  <c r="H88" i="2"/>
  <c r="B88" i="9" s="1"/>
  <c r="H89" i="2"/>
  <c r="B36" i="9" s="1"/>
  <c r="H90" i="2"/>
  <c r="B37" i="9" s="1"/>
  <c r="H91" i="2"/>
  <c r="B46" i="9" s="1"/>
  <c r="H92" i="2"/>
  <c r="B73" i="9" s="1"/>
  <c r="H93" i="2"/>
  <c r="B67" i="9" s="1"/>
  <c r="H94" i="2"/>
  <c r="B9" i="9" s="1"/>
  <c r="H95" i="2"/>
  <c r="B66" i="9" s="1"/>
  <c r="H96" i="2"/>
  <c r="B49" i="9" s="1"/>
  <c r="H97" i="2"/>
  <c r="B98" i="9" s="1"/>
  <c r="H98" i="2"/>
  <c r="B75" i="9" s="1"/>
  <c r="H99" i="2"/>
  <c r="B86" i="9" s="1"/>
  <c r="H100" i="2"/>
  <c r="B55" i="9" s="1"/>
  <c r="H101" i="2"/>
  <c r="B52" i="9" s="1"/>
  <c r="H102" i="2"/>
  <c r="B76" i="9" s="1"/>
  <c r="G5" i="2"/>
  <c r="B39" i="8" s="1"/>
  <c r="G6" i="2"/>
  <c r="B95" i="8" s="1"/>
  <c r="G7" i="2"/>
  <c r="B90" i="8" s="1"/>
  <c r="G8" i="2"/>
  <c r="B99" i="8" s="1"/>
  <c r="G9" i="2"/>
  <c r="B102" i="8" s="1"/>
  <c r="G10" i="2"/>
  <c r="B101" i="8" s="1"/>
  <c r="G11" i="2"/>
  <c r="B96" i="8" s="1"/>
  <c r="G12" i="2"/>
  <c r="B83" i="8" s="1"/>
  <c r="G13" i="2"/>
  <c r="B79" i="8" s="1"/>
  <c r="G14" i="2"/>
  <c r="B89" i="8" s="1"/>
  <c r="G15" i="2"/>
  <c r="B92" i="8" s="1"/>
  <c r="G16" i="2"/>
  <c r="B88" i="8" s="1"/>
  <c r="G17" i="2"/>
  <c r="B84" i="8" s="1"/>
  <c r="G18" i="2"/>
  <c r="B65" i="8" s="1"/>
  <c r="G19" i="2"/>
  <c r="B61" i="8" s="1"/>
  <c r="G20" i="2"/>
  <c r="B57" i="8" s="1"/>
  <c r="G21" i="2"/>
  <c r="B14" i="8" s="1"/>
  <c r="G22" i="2"/>
  <c r="B34" i="8" s="1"/>
  <c r="G23" i="2"/>
  <c r="B71" i="8" s="1"/>
  <c r="G24" i="2"/>
  <c r="B25" i="8" s="1"/>
  <c r="G25" i="2"/>
  <c r="B54" i="8" s="1"/>
  <c r="G26" i="2"/>
  <c r="B26" i="8" s="1"/>
  <c r="G27" i="2"/>
  <c r="B59" i="8" s="1"/>
  <c r="G28" i="2"/>
  <c r="B36" i="8" s="1"/>
  <c r="G29" i="2"/>
  <c r="B18" i="8" s="1"/>
  <c r="G30" i="2"/>
  <c r="B15" i="8" s="1"/>
  <c r="G31" i="2"/>
  <c r="B20" i="8" s="1"/>
  <c r="G32" i="2"/>
  <c r="B38" i="8" s="1"/>
  <c r="G33" i="2"/>
  <c r="B23" i="8" s="1"/>
  <c r="G34" i="2"/>
  <c r="B33" i="8" s="1"/>
  <c r="G35" i="2"/>
  <c r="B8" i="8" s="1"/>
  <c r="G36" i="2"/>
  <c r="B21" i="8" s="1"/>
  <c r="G37" i="2"/>
  <c r="B31" i="8" s="1"/>
  <c r="G38" i="2"/>
  <c r="B13" i="8" s="1"/>
  <c r="G39" i="2"/>
  <c r="B80" i="8" s="1"/>
  <c r="G40" i="2"/>
  <c r="B27" i="8" s="1"/>
  <c r="G41" i="2"/>
  <c r="B4" i="8" s="1"/>
  <c r="G42" i="2"/>
  <c r="B7" i="8" s="1"/>
  <c r="G43" i="2"/>
  <c r="B53" i="8" s="1"/>
  <c r="G44" i="2"/>
  <c r="B17" i="8" s="1"/>
  <c r="G45" i="2"/>
  <c r="B19" i="8" s="1"/>
  <c r="G46" i="2"/>
  <c r="B45" i="8" s="1"/>
  <c r="G47" i="2"/>
  <c r="B66" i="8" s="1"/>
  <c r="G48" i="2"/>
  <c r="B29" i="8" s="1"/>
  <c r="G49" i="2"/>
  <c r="B10" i="8" s="1"/>
  <c r="G50" i="2"/>
  <c r="B72" i="8" s="1"/>
  <c r="G51" i="2"/>
  <c r="B78" i="8" s="1"/>
  <c r="G52" i="2"/>
  <c r="B48" i="8" s="1"/>
  <c r="G53" i="2"/>
  <c r="B32" i="8" s="1"/>
  <c r="G54" i="2"/>
  <c r="B5" i="8" s="1"/>
  <c r="G55" i="2"/>
  <c r="B28" i="8" s="1"/>
  <c r="G56" i="2"/>
  <c r="B30" i="8" s="1"/>
  <c r="G57" i="2"/>
  <c r="B69" i="8" s="1"/>
  <c r="G58" i="2"/>
  <c r="B47" i="8" s="1"/>
  <c r="G59" i="2"/>
  <c r="B67" i="8" s="1"/>
  <c r="G60" i="2"/>
  <c r="B50" i="8" s="1"/>
  <c r="G61" i="2"/>
  <c r="B41" i="8" s="1"/>
  <c r="G62" i="2"/>
  <c r="B24" i="8" s="1"/>
  <c r="G63" i="2"/>
  <c r="B49" i="8" s="1"/>
  <c r="G64" i="2"/>
  <c r="B91" i="8" s="1"/>
  <c r="G65" i="2"/>
  <c r="B56" i="8" s="1"/>
  <c r="G66" i="2"/>
  <c r="B44" i="8" s="1"/>
  <c r="G67" i="2"/>
  <c r="B58" i="8" s="1"/>
  <c r="G68" i="2"/>
  <c r="B51" i="8" s="1"/>
  <c r="G69" i="2"/>
  <c r="B16" i="8" s="1"/>
  <c r="G70" i="2"/>
  <c r="B11" i="8" s="1"/>
  <c r="G71" i="2"/>
  <c r="B22" i="8" s="1"/>
  <c r="G72" i="2"/>
  <c r="B6" i="8" s="1"/>
  <c r="G73" i="2"/>
  <c r="B35" i="8" s="1"/>
  <c r="G74" i="2"/>
  <c r="B70" i="8" s="1"/>
  <c r="G75" i="2"/>
  <c r="B85" i="8" s="1"/>
  <c r="G76" i="2"/>
  <c r="B62" i="8" s="1"/>
  <c r="G77" i="2"/>
  <c r="B81" i="8" s="1"/>
  <c r="G78" i="2"/>
  <c r="B77" i="8" s="1"/>
  <c r="G79" i="2"/>
  <c r="B93" i="8" s="1"/>
  <c r="G80" i="2"/>
  <c r="B74" i="8" s="1"/>
  <c r="G81" i="2"/>
  <c r="B52" i="8" s="1"/>
  <c r="G82" i="2"/>
  <c r="B43" i="8" s="1"/>
  <c r="G83" i="2"/>
  <c r="B37" i="8" s="1"/>
  <c r="G84" i="2"/>
  <c r="B76" i="8" s="1"/>
  <c r="G85" i="2"/>
  <c r="B100" i="8" s="1"/>
  <c r="G86" i="2"/>
  <c r="B97" i="8" s="1"/>
  <c r="G87" i="2"/>
  <c r="B86" i="8" s="1"/>
  <c r="G88" i="2"/>
  <c r="B94" i="8" s="1"/>
  <c r="G89" i="2"/>
  <c r="B63" i="8" s="1"/>
  <c r="G90" i="2"/>
  <c r="B40" i="8" s="1"/>
  <c r="G91" i="2"/>
  <c r="B46" i="8" s="1"/>
  <c r="G92" i="2"/>
  <c r="B73" i="8" s="1"/>
  <c r="G93" i="2"/>
  <c r="B60" i="8" s="1"/>
  <c r="G94" i="2"/>
  <c r="B12" i="8" s="1"/>
  <c r="G95" i="2"/>
  <c r="B68" i="8" s="1"/>
  <c r="G96" i="2"/>
  <c r="B42" i="8" s="1"/>
  <c r="G97" i="2"/>
  <c r="B98" i="8" s="1"/>
  <c r="G98" i="2"/>
  <c r="B75" i="8" s="1"/>
  <c r="G99" i="2"/>
  <c r="B87" i="8" s="1"/>
  <c r="G100" i="2"/>
  <c r="B64" i="8" s="1"/>
  <c r="G101" i="2"/>
  <c r="B55" i="8" s="1"/>
  <c r="G102" i="2"/>
  <c r="B82" i="8" s="1"/>
  <c r="F102" i="2"/>
  <c r="B77" i="7" s="1"/>
  <c r="F5" i="2"/>
  <c r="B63" i="7" s="1"/>
  <c r="F6" i="2"/>
  <c r="B94" i="7" s="1"/>
  <c r="F7" i="2"/>
  <c r="B78" i="7" s="1"/>
  <c r="F8" i="2"/>
  <c r="B98" i="7" s="1"/>
  <c r="F9" i="2"/>
  <c r="B101" i="7" s="1"/>
  <c r="F10" i="2"/>
  <c r="B102" i="7" s="1"/>
  <c r="F11" i="2"/>
  <c r="B93" i="7" s="1"/>
  <c r="F12" i="2"/>
  <c r="B68" i="7" s="1"/>
  <c r="F13" i="2"/>
  <c r="B43" i="7" s="1"/>
  <c r="F14" i="2"/>
  <c r="B92" i="7" s="1"/>
  <c r="F15" i="2"/>
  <c r="B95" i="7" s="1"/>
  <c r="F16" i="2"/>
  <c r="B89" i="7" s="1"/>
  <c r="F17" i="2"/>
  <c r="B79" i="7" s="1"/>
  <c r="F18" i="2"/>
  <c r="B46" i="7" s="1"/>
  <c r="F19" i="2"/>
  <c r="B40" i="7" s="1"/>
  <c r="F20" i="2"/>
  <c r="B47" i="7" s="1"/>
  <c r="F21" i="2"/>
  <c r="B8" i="7" s="1"/>
  <c r="F22" i="2"/>
  <c r="B32" i="7" s="1"/>
  <c r="F23" i="2"/>
  <c r="B86" i="7" s="1"/>
  <c r="F24" i="2"/>
  <c r="B50" i="7" s="1"/>
  <c r="F25" i="2"/>
  <c r="B22" i="7" s="1"/>
  <c r="F26" i="2"/>
  <c r="B9" i="7" s="1"/>
  <c r="F27" i="2"/>
  <c r="B52" i="7" s="1"/>
  <c r="F28" i="2"/>
  <c r="B30" i="7" s="1"/>
  <c r="F29" i="2"/>
  <c r="B4" i="7" s="1"/>
  <c r="F30" i="2"/>
  <c r="B10" i="7" s="1"/>
  <c r="F31" i="2"/>
  <c r="B21" i="7" s="1"/>
  <c r="F32" i="2"/>
  <c r="B53" i="7" s="1"/>
  <c r="F33" i="2"/>
  <c r="B34" i="7" s="1"/>
  <c r="F34" i="2"/>
  <c r="B35" i="7" s="1"/>
  <c r="F35" i="2"/>
  <c r="B24" i="7" s="1"/>
  <c r="F36" i="2"/>
  <c r="B19" i="7" s="1"/>
  <c r="F37" i="2"/>
  <c r="B28" i="7" s="1"/>
  <c r="F38" i="2"/>
  <c r="B25" i="7" s="1"/>
  <c r="F39" i="2"/>
  <c r="B72" i="7" s="1"/>
  <c r="F40" i="2"/>
  <c r="B18" i="7" s="1"/>
  <c r="F41" i="2"/>
  <c r="B5" i="7" s="1"/>
  <c r="F42" i="2"/>
  <c r="B7" i="7" s="1"/>
  <c r="F43" i="2"/>
  <c r="B42" i="7" s="1"/>
  <c r="F44" i="2"/>
  <c r="B17" i="7" s="1"/>
  <c r="F45" i="2"/>
  <c r="B16" i="7" s="1"/>
  <c r="F46" i="2"/>
  <c r="B31" i="7" s="1"/>
  <c r="F47" i="2"/>
  <c r="B69" i="7" s="1"/>
  <c r="F48" i="2"/>
  <c r="B27" i="7" s="1"/>
  <c r="F49" i="2"/>
  <c r="B12" i="7" s="1"/>
  <c r="F50" i="2"/>
  <c r="B70" i="7" s="1"/>
  <c r="F51" i="2"/>
  <c r="B80" i="7" s="1"/>
  <c r="F52" i="2"/>
  <c r="B48" i="7" s="1"/>
  <c r="F53" i="2"/>
  <c r="B26" i="7" s="1"/>
  <c r="F54" i="2"/>
  <c r="B6" i="7" s="1"/>
  <c r="F55" i="2"/>
  <c r="B38" i="7" s="1"/>
  <c r="F56" i="2"/>
  <c r="B37" i="7" s="1"/>
  <c r="F57" i="2"/>
  <c r="B81" i="7" s="1"/>
  <c r="F58" i="2"/>
  <c r="B61" i="7" s="1"/>
  <c r="F59" i="2"/>
  <c r="B74" i="7" s="1"/>
  <c r="F60" i="2"/>
  <c r="B58" i="7" s="1"/>
  <c r="F61" i="2"/>
  <c r="B51" i="7" s="1"/>
  <c r="F62" i="2"/>
  <c r="B29" i="7" s="1"/>
  <c r="F63" i="2"/>
  <c r="B54" i="7" s="1"/>
  <c r="F64" i="2"/>
  <c r="B96" i="7" s="1"/>
  <c r="F65" i="2"/>
  <c r="B67" i="7" s="1"/>
  <c r="F66" i="2"/>
  <c r="B33" i="7" s="1"/>
  <c r="F67" i="2"/>
  <c r="B59" i="7" s="1"/>
  <c r="F68" i="2"/>
  <c r="B56" i="7" s="1"/>
  <c r="F69" i="2"/>
  <c r="B23" i="7" s="1"/>
  <c r="F70" i="2"/>
  <c r="B14" i="7" s="1"/>
  <c r="F71" i="2"/>
  <c r="B20" i="7" s="1"/>
  <c r="F72" i="2"/>
  <c r="B11" i="7" s="1"/>
  <c r="F73" i="2"/>
  <c r="B36" i="7" s="1"/>
  <c r="F74" i="2"/>
  <c r="B71" i="7" s="1"/>
  <c r="F75" i="2"/>
  <c r="B85" i="7" s="1"/>
  <c r="F76" i="2"/>
  <c r="B75" i="7" s="1"/>
  <c r="F77" i="2"/>
  <c r="B87" i="7" s="1"/>
  <c r="F78" i="2"/>
  <c r="B83" i="7" s="1"/>
  <c r="F79" i="2"/>
  <c r="B90" i="7" s="1"/>
  <c r="F80" i="2"/>
  <c r="B65" i="7" s="1"/>
  <c r="F81" i="2"/>
  <c r="B44" i="7" s="1"/>
  <c r="F82" i="2"/>
  <c r="B41" i="7" s="1"/>
  <c r="F83" i="2"/>
  <c r="B45" i="7" s="1"/>
  <c r="F84" i="2"/>
  <c r="B82" i="7" s="1"/>
  <c r="F85" i="2"/>
  <c r="B100" i="7" s="1"/>
  <c r="F86" i="2"/>
  <c r="B97" i="7" s="1"/>
  <c r="F87" i="2"/>
  <c r="B84" i="7" s="1"/>
  <c r="F88" i="2"/>
  <c r="B91" i="7" s="1"/>
  <c r="F89" i="2"/>
  <c r="B55" i="7" s="1"/>
  <c r="F90" i="2"/>
  <c r="B39" i="7" s="1"/>
  <c r="F91" i="2"/>
  <c r="B49" i="7" s="1"/>
  <c r="F92" i="2"/>
  <c r="B73" i="7" s="1"/>
  <c r="F93" i="2"/>
  <c r="B60" i="7" s="1"/>
  <c r="F94" i="2"/>
  <c r="B13" i="7" s="1"/>
  <c r="F95" i="2"/>
  <c r="B76" i="7" s="1"/>
  <c r="F96" i="2"/>
  <c r="B57" i="7" s="1"/>
  <c r="F97" i="2"/>
  <c r="B99" i="7" s="1"/>
  <c r="F98" i="2"/>
  <c r="B66" i="7" s="1"/>
  <c r="F99" i="2"/>
  <c r="B88" i="7" s="1"/>
  <c r="F100" i="2"/>
  <c r="B64" i="7" s="1"/>
  <c r="F101" i="2"/>
  <c r="B62" i="7" s="1"/>
  <c r="E5" i="2"/>
  <c r="B51" i="6" s="1"/>
  <c r="E6" i="2"/>
  <c r="B97" i="6" s="1"/>
  <c r="E7" i="2"/>
  <c r="B85" i="6" s="1"/>
  <c r="E8" i="2"/>
  <c r="B99" i="6" s="1"/>
  <c r="E9" i="2"/>
  <c r="B102" i="6" s="1"/>
  <c r="E10" i="2"/>
  <c r="B101" i="6" s="1"/>
  <c r="E11" i="2"/>
  <c r="B84" i="6" s="1"/>
  <c r="E12" i="2"/>
  <c r="B60" i="6" s="1"/>
  <c r="E13" i="2"/>
  <c r="B61" i="6" s="1"/>
  <c r="E14" i="2"/>
  <c r="B93" i="6" s="1"/>
  <c r="E15" i="2"/>
  <c r="B94" i="6" s="1"/>
  <c r="E16" i="2"/>
  <c r="B80" i="6" s="1"/>
  <c r="E17" i="2"/>
  <c r="B64" i="6" s="1"/>
  <c r="E18" i="2"/>
  <c r="B45" i="6" s="1"/>
  <c r="E19" i="2"/>
  <c r="B33" i="6" s="1"/>
  <c r="E20" i="2"/>
  <c r="B31" i="6" s="1"/>
  <c r="E21" i="2"/>
  <c r="B18" i="6" s="1"/>
  <c r="E22" i="2"/>
  <c r="B30" i="6" s="1"/>
  <c r="E23" i="2"/>
  <c r="B86" i="6" s="1"/>
  <c r="E24" i="2"/>
  <c r="B57" i="6" s="1"/>
  <c r="E25" i="2"/>
  <c r="B66" i="6" s="1"/>
  <c r="E26" i="2"/>
  <c r="B37" i="6" s="1"/>
  <c r="E27" i="2"/>
  <c r="B43" i="6" s="1"/>
  <c r="E28" i="2"/>
  <c r="B13" i="6" s="1"/>
  <c r="E29" i="2"/>
  <c r="B8" i="6" s="1"/>
  <c r="E30" i="2"/>
  <c r="B15" i="6" s="1"/>
  <c r="E31" i="2"/>
  <c r="B6" i="6" s="1"/>
  <c r="E32" i="2"/>
  <c r="B34" i="6" s="1"/>
  <c r="E33" i="2"/>
  <c r="B22" i="6" s="1"/>
  <c r="E34" i="2"/>
  <c r="B48" i="6" s="1"/>
  <c r="E35" i="2"/>
  <c r="B9" i="6" s="1"/>
  <c r="E36" i="2"/>
  <c r="B20" i="6" s="1"/>
  <c r="E37" i="2"/>
  <c r="B25" i="6" s="1"/>
  <c r="E38" i="2"/>
  <c r="B19" i="6" s="1"/>
  <c r="E39" i="2"/>
  <c r="B67" i="6" s="1"/>
  <c r="E40" i="2"/>
  <c r="B14" i="6" s="1"/>
  <c r="E41" i="2"/>
  <c r="B4" i="6" s="1"/>
  <c r="E42" i="2"/>
  <c r="B5" i="6" s="1"/>
  <c r="E43" i="2"/>
  <c r="B32" i="6" s="1"/>
  <c r="E44" i="2"/>
  <c r="B7" i="6" s="1"/>
  <c r="E45" i="2"/>
  <c r="B21" i="6" s="1"/>
  <c r="E46" i="2"/>
  <c r="B36" i="6" s="1"/>
  <c r="E47" i="2"/>
  <c r="B74" i="6" s="1"/>
  <c r="E48" i="2"/>
  <c r="B35" i="6" s="1"/>
  <c r="E49" i="2"/>
  <c r="B12" i="6" s="1"/>
  <c r="E50" i="2"/>
  <c r="B72" i="6" s="1"/>
  <c r="E51" i="2"/>
  <c r="B87" i="6" s="1"/>
  <c r="E52" i="2"/>
  <c r="B70" i="6" s="1"/>
  <c r="E53" i="2"/>
  <c r="B27" i="6" s="1"/>
  <c r="E54" i="2"/>
  <c r="B17" i="6" s="1"/>
  <c r="E55" i="2"/>
  <c r="B50" i="6" s="1"/>
  <c r="E56" i="2"/>
  <c r="B40" i="6" s="1"/>
  <c r="E57" i="2"/>
  <c r="B81" i="6" s="1"/>
  <c r="E58" i="2"/>
  <c r="B65" i="6" s="1"/>
  <c r="E59" i="2"/>
  <c r="B78" i="6" s="1"/>
  <c r="E60" i="2"/>
  <c r="B53" i="6" s="1"/>
  <c r="E61" i="2"/>
  <c r="B44" i="6" s="1"/>
  <c r="E62" i="2"/>
  <c r="B26" i="6" s="1"/>
  <c r="E63" i="2"/>
  <c r="B54" i="6" s="1"/>
  <c r="E64" i="2"/>
  <c r="B96" i="6" s="1"/>
  <c r="E65" i="2"/>
  <c r="B68" i="6" s="1"/>
  <c r="E66" i="2"/>
  <c r="B42" i="6" s="1"/>
  <c r="E67" i="2"/>
  <c r="B63" i="6" s="1"/>
  <c r="E68" i="2"/>
  <c r="B49" i="6" s="1"/>
  <c r="E69" i="2"/>
  <c r="B23" i="6" s="1"/>
  <c r="E70" i="2"/>
  <c r="B24" i="6" s="1"/>
  <c r="E71" i="2"/>
  <c r="B28" i="6" s="1"/>
  <c r="E72" i="2"/>
  <c r="B16" i="6" s="1"/>
  <c r="E73" i="2"/>
  <c r="B29" i="6" s="1"/>
  <c r="E74" i="2"/>
  <c r="B73" i="6" s="1"/>
  <c r="E75" i="2"/>
  <c r="B90" i="6" s="1"/>
  <c r="E76" i="2"/>
  <c r="B77" i="6" s="1"/>
  <c r="E77" i="2"/>
  <c r="B89" i="6" s="1"/>
  <c r="E78" i="2"/>
  <c r="B82" i="6" s="1"/>
  <c r="E79" i="2"/>
  <c r="B92" i="6" s="1"/>
  <c r="E80" i="2"/>
  <c r="B75" i="6" s="1"/>
  <c r="E81" i="2"/>
  <c r="B46" i="6" s="1"/>
  <c r="E82" i="2"/>
  <c r="B38" i="6" s="1"/>
  <c r="E83" i="2"/>
  <c r="B41" i="6" s="1"/>
  <c r="E84" i="2"/>
  <c r="B71" i="6" s="1"/>
  <c r="E85" i="2"/>
  <c r="B100" i="6" s="1"/>
  <c r="E86" i="2"/>
  <c r="B95" i="6" s="1"/>
  <c r="E87" i="2"/>
  <c r="B83" i="6" s="1"/>
  <c r="E88" i="2"/>
  <c r="B91" i="6" s="1"/>
  <c r="E89" i="2"/>
  <c r="B62" i="6" s="1"/>
  <c r="E90" i="2"/>
  <c r="B39" i="6" s="1"/>
  <c r="E91" i="2"/>
  <c r="B47" i="6" s="1"/>
  <c r="E92" i="2"/>
  <c r="B69" i="6" s="1"/>
  <c r="E93" i="2"/>
  <c r="B58" i="6" s="1"/>
  <c r="E94" i="2"/>
  <c r="B11" i="6" s="1"/>
  <c r="E95" i="2"/>
  <c r="B76" i="6" s="1"/>
  <c r="E96" i="2"/>
  <c r="B56" i="6" s="1"/>
  <c r="E97" i="2"/>
  <c r="B98" i="6" s="1"/>
  <c r="E98" i="2"/>
  <c r="B55" i="6" s="1"/>
  <c r="E99" i="2"/>
  <c r="B88" i="6" s="1"/>
  <c r="E100" i="2"/>
  <c r="B59" i="6" s="1"/>
  <c r="E101" i="2"/>
  <c r="B52" i="6" s="1"/>
  <c r="E102" i="2"/>
  <c r="B79" i="6" s="1"/>
  <c r="D5" i="2"/>
  <c r="B40" i="5" s="1"/>
  <c r="D6" i="2"/>
  <c r="B100" i="5" s="1"/>
  <c r="D7" i="2"/>
  <c r="B90" i="5" s="1"/>
  <c r="D8" i="2"/>
  <c r="B96" i="5" s="1"/>
  <c r="D9" i="2"/>
  <c r="B102" i="5" s="1"/>
  <c r="D10" i="2"/>
  <c r="B101" i="5" s="1"/>
  <c r="D11" i="2"/>
  <c r="B82" i="5" s="1"/>
  <c r="D12" i="2"/>
  <c r="B65" i="5" s="1"/>
  <c r="D13" i="2"/>
  <c r="B48" i="5" s="1"/>
  <c r="D14" i="2"/>
  <c r="B94" i="5" s="1"/>
  <c r="D15" i="2"/>
  <c r="B93" i="5" s="1"/>
  <c r="D16" i="2"/>
  <c r="B87" i="5" s="1"/>
  <c r="D17" i="2"/>
  <c r="B78" i="5" s="1"/>
  <c r="D18" i="2"/>
  <c r="B27" i="5" s="1"/>
  <c r="D19" i="2"/>
  <c r="B30" i="5" s="1"/>
  <c r="D20" i="2"/>
  <c r="B20" i="5" s="1"/>
  <c r="D21" i="2"/>
  <c r="B4" i="5" s="1"/>
  <c r="D22" i="2"/>
  <c r="B22" i="5" s="1"/>
  <c r="D23" i="2"/>
  <c r="B88" i="5" s="1"/>
  <c r="D24" i="2"/>
  <c r="B50" i="5" s="1"/>
  <c r="D25" i="2"/>
  <c r="B52" i="5" s="1"/>
  <c r="D26" i="2"/>
  <c r="B10" i="5" s="1"/>
  <c r="D27" i="2"/>
  <c r="B41" i="5" s="1"/>
  <c r="D28" i="2"/>
  <c r="B12" i="5" s="1"/>
  <c r="D29" i="2"/>
  <c r="B8" i="5" s="1"/>
  <c r="D30" i="2"/>
  <c r="B16" i="5" s="1"/>
  <c r="D31" i="2"/>
  <c r="B9" i="5" s="1"/>
  <c r="D32" i="2"/>
  <c r="B55" i="5" s="1"/>
  <c r="D33" i="2"/>
  <c r="B49" i="5" s="1"/>
  <c r="D34" i="2"/>
  <c r="B61" i="5" s="1"/>
  <c r="D35" i="2"/>
  <c r="B15" i="5" s="1"/>
  <c r="D36" i="2"/>
  <c r="B24" i="5" s="1"/>
  <c r="D37" i="2"/>
  <c r="B33" i="5" s="1"/>
  <c r="D38" i="2"/>
  <c r="B13" i="5" s="1"/>
  <c r="D39" i="2"/>
  <c r="B69" i="5" s="1"/>
  <c r="D40" i="2"/>
  <c r="B11" i="5" s="1"/>
  <c r="D41" i="2"/>
  <c r="B5" i="5" s="1"/>
  <c r="D42" i="2"/>
  <c r="B6" i="5" s="1"/>
  <c r="D43" i="2"/>
  <c r="B34" i="5" s="1"/>
  <c r="D44" i="2"/>
  <c r="B19" i="5" s="1"/>
  <c r="D45" i="2"/>
  <c r="B31" i="5" s="1"/>
  <c r="D46" i="2"/>
  <c r="B35" i="5" s="1"/>
  <c r="D47" i="2"/>
  <c r="B71" i="5" s="1"/>
  <c r="D48" i="2"/>
  <c r="B37" i="5" s="1"/>
  <c r="D49" i="2"/>
  <c r="B14" i="5" s="1"/>
  <c r="D50" i="2"/>
  <c r="B70" i="5" s="1"/>
  <c r="D51" i="2"/>
  <c r="B86" i="5" s="1"/>
  <c r="D52" i="2"/>
  <c r="B56" i="5" s="1"/>
  <c r="D53" i="2"/>
  <c r="B28" i="5" s="1"/>
  <c r="D54" i="2"/>
  <c r="B17" i="5" s="1"/>
  <c r="D55" i="2"/>
  <c r="B57" i="5" s="1"/>
  <c r="D56" i="2"/>
  <c r="B45" i="5" s="1"/>
  <c r="D57" i="2"/>
  <c r="B80" i="5" s="1"/>
  <c r="D58" i="2"/>
  <c r="B63" i="5" s="1"/>
  <c r="D59" i="2"/>
  <c r="B79" i="5" s="1"/>
  <c r="D60" i="2"/>
  <c r="B47" i="5" s="1"/>
  <c r="D61" i="2"/>
  <c r="B51" i="5" s="1"/>
  <c r="D62" i="2"/>
  <c r="B25" i="5" s="1"/>
  <c r="D63" i="2"/>
  <c r="B59" i="5" s="1"/>
  <c r="D64" i="2"/>
  <c r="B97" i="5" s="1"/>
  <c r="D65" i="2"/>
  <c r="B66" i="5" s="1"/>
  <c r="D66" i="2"/>
  <c r="B46" i="5" s="1"/>
  <c r="D67" i="2"/>
  <c r="B75" i="5" s="1"/>
  <c r="D68" i="2"/>
  <c r="B62" i="5" s="1"/>
  <c r="D69" i="2"/>
  <c r="B23" i="5" s="1"/>
  <c r="D70" i="2"/>
  <c r="B21" i="5" s="1"/>
  <c r="D71" i="2"/>
  <c r="B26" i="5" s="1"/>
  <c r="D72" i="2"/>
  <c r="B18" i="5" s="1"/>
  <c r="D73" i="2"/>
  <c r="B42" i="5" s="1"/>
  <c r="D74" i="2"/>
  <c r="B72" i="5" s="1"/>
  <c r="D75" i="2"/>
  <c r="B81" i="5" s="1"/>
  <c r="D76" i="2"/>
  <c r="B74" i="5" s="1"/>
  <c r="D77" i="2"/>
  <c r="B89" i="5" s="1"/>
  <c r="D78" i="2"/>
  <c r="B83" i="5" s="1"/>
  <c r="D79" i="2"/>
  <c r="B95" i="5" s="1"/>
  <c r="D80" i="2"/>
  <c r="B77" i="5" s="1"/>
  <c r="D81" i="2"/>
  <c r="B44" i="5" s="1"/>
  <c r="D82" i="2"/>
  <c r="B43" i="5" s="1"/>
  <c r="D83" i="2"/>
  <c r="B32" i="5" s="1"/>
  <c r="D84" i="2"/>
  <c r="B64" i="5" s="1"/>
  <c r="D85" i="2"/>
  <c r="B99" i="5" s="1"/>
  <c r="D86" i="2"/>
  <c r="B92" i="5" s="1"/>
  <c r="D87" i="2"/>
  <c r="B76" i="5" s="1"/>
  <c r="D88" i="2"/>
  <c r="B84" i="5" s="1"/>
  <c r="D89" i="2"/>
  <c r="B38" i="5" s="1"/>
  <c r="D90" i="2"/>
  <c r="B36" i="5" s="1"/>
  <c r="D91" i="2"/>
  <c r="B39" i="5" s="1"/>
  <c r="D92" i="2"/>
  <c r="B68" i="5" s="1"/>
  <c r="D93" i="2"/>
  <c r="B53" i="5" s="1"/>
  <c r="D94" i="2"/>
  <c r="B7" i="5" s="1"/>
  <c r="D95" i="2"/>
  <c r="B73" i="5" s="1"/>
  <c r="D96" i="2"/>
  <c r="B54" i="5" s="1"/>
  <c r="D97" i="2"/>
  <c r="B98" i="5" s="1"/>
  <c r="D98" i="2"/>
  <c r="B58" i="5" s="1"/>
  <c r="D99" i="2"/>
  <c r="B91" i="5" s="1"/>
  <c r="D100" i="2"/>
  <c r="B60" i="5" s="1"/>
  <c r="D101" i="2"/>
  <c r="B67" i="5" s="1"/>
  <c r="D102" i="2"/>
  <c r="B85" i="5" s="1"/>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22" i="2"/>
  <c r="B23" i="2"/>
  <c r="B24" i="2"/>
  <c r="B25" i="2"/>
  <c r="B5" i="2"/>
  <c r="B6" i="2"/>
  <c r="B7" i="2"/>
  <c r="B9" i="2"/>
  <c r="B10" i="2"/>
  <c r="B11" i="2"/>
  <c r="B12" i="2"/>
  <c r="B13" i="2"/>
  <c r="B14" i="2"/>
  <c r="B15" i="2"/>
  <c r="B16" i="2"/>
  <c r="B17" i="2"/>
  <c r="B18" i="2"/>
  <c r="B19" i="2"/>
  <c r="B20" i="2"/>
  <c r="B21" i="2"/>
  <c r="C4" i="2"/>
  <c r="D4" i="2"/>
  <c r="B29" i="5" s="1"/>
  <c r="E4" i="2"/>
  <c r="B10" i="6" s="1"/>
  <c r="F4" i="2"/>
  <c r="B15" i="7" s="1"/>
  <c r="G4" i="2"/>
  <c r="B9" i="8" s="1"/>
  <c r="H4" i="2"/>
  <c r="B23" i="9" s="1"/>
  <c r="I4" i="2"/>
  <c r="B25" i="10" s="1"/>
  <c r="J4" i="2"/>
  <c r="B50" i="11" s="1"/>
  <c r="K4" i="2"/>
  <c r="B60" i="12" s="1"/>
  <c r="B4"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C3" i="2"/>
  <c r="D3" i="2"/>
  <c r="E3" i="2"/>
  <c r="F3" i="2"/>
  <c r="G3" i="2"/>
  <c r="H3" i="2"/>
  <c r="I3" i="2"/>
  <c r="J3" i="2"/>
  <c r="K3" i="2"/>
  <c r="B3" i="2"/>
  <c r="A3" i="2"/>
</calcChain>
</file>

<file path=xl/sharedStrings.xml><?xml version="1.0" encoding="utf-8"?>
<sst xmlns="http://schemas.openxmlformats.org/spreadsheetml/2006/main" count="78" uniqueCount="31">
  <si>
    <t>Standard Deviations by Year for Each Decile</t>
  </si>
  <si>
    <t>Year</t>
  </si>
  <si>
    <t xml:space="preserve"> Lo 10</t>
  </si>
  <si>
    <t xml:space="preserve"> Dec 2</t>
  </si>
  <si>
    <t xml:space="preserve"> Dec 3</t>
  </si>
  <si>
    <t xml:space="preserve"> Dec 4</t>
  </si>
  <si>
    <t xml:space="preserve"> Dec 5</t>
  </si>
  <si>
    <t xml:space="preserve"> Dec 6</t>
  </si>
  <si>
    <t xml:space="preserve"> Dec 7</t>
  </si>
  <si>
    <t xml:space="preserve"> Dec 8</t>
  </si>
  <si>
    <t xml:space="preserve"> Dec 9</t>
  </si>
  <si>
    <t xml:space="preserve"> Hi 10</t>
  </si>
  <si>
    <t>\</t>
  </si>
  <si>
    <t>Ln of Lo 10 Sorted</t>
  </si>
  <si>
    <t>Rank</t>
  </si>
  <si>
    <t>Rank Proportion</t>
  </si>
  <si>
    <t>Rank-Based Z Scores</t>
  </si>
  <si>
    <t>Lns of Dec 2 Sorted</t>
  </si>
  <si>
    <t>Lns of Dec 3 Sorted</t>
  </si>
  <si>
    <t>Lns of Dec 4 Sorted</t>
  </si>
  <si>
    <t>Lns of Dec 5 Sorted</t>
  </si>
  <si>
    <t>Lns of Hi 10 Sorted</t>
  </si>
  <si>
    <t>Lns of Dec 9 Sorted</t>
  </si>
  <si>
    <t>Lns of Dec 8 Sorted</t>
  </si>
  <si>
    <t>Lns of Dec 7 Sorted</t>
  </si>
  <si>
    <t>Lns of Dec 6 Sorted</t>
  </si>
  <si>
    <t>This spreadsheet was made by Ender Dempsey under the mentorship of Andrey Sarantsev, Ph.D.</t>
  </si>
  <si>
    <t>The LNs sheet is the natural logarithms of all the values in the SDs by Year for Deciles sheet. This also includes a line graph of all the standard deviations for each decile for each year.</t>
  </si>
  <si>
    <t>The Correlation Matrix was done using the data from the LNs sheet.</t>
  </si>
  <si>
    <t>For all of the other sheets, I took the corresponding logarithms for the titular decile for each year and put them in the first column. These logarithms were soreted from low to high. Since we are testing for normality, the next columns were the ranking of the sorted logarithms, their ranking proportion, and their z-score. From this data, I made a Quantile-Quantile plot and added a linear fit line. Since the data is linear, it is log-normally distributed.</t>
  </si>
  <si>
    <t>The SDs by Year for Deciles sheet is the data that finds the standard deviations of the data from the Kenneth R French Observatory titled "Portfolios Formed on BE-ME [Daily]"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</si>
</sst>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lns!$B$2</c:f>
              <c:strCache>
                <c:ptCount val="1"/>
              </c:strCache>
            </c:strRef>
          </c:tx>
          <c:spPr>
            <a:ln w="19050" cap="rnd">
              <a:solidFill>
                <a:schemeClr val="accent1"/>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lns!$B$4:$B$103</c:f>
              <c:numCache>
                <c:formatCode>General</c:formatCode>
                <c:ptCount val="100"/>
                <c:pt idx="0">
                  <c:v>-0.34741226105955086</c:v>
                </c:pt>
                <c:pt idx="1">
                  <c:v>5.0550518597901162E-2</c:v>
                </c:pt>
                <c:pt idx="2">
                  <c:v>0.81611232144096479</c:v>
                </c:pt>
                <c:pt idx="3">
                  <c:v>0.56702824765087667</c:v>
                </c:pt>
                <c:pt idx="4">
                  <c:v>0.7177617413238645</c:v>
                </c:pt>
                <c:pt idx="5">
                  <c:v>1.0537753003922292</c:v>
                </c:pt>
                <c:pt idx="6">
                  <c:v>0.89540207506134994</c:v>
                </c:pt>
                <c:pt idx="7">
                  <c:v>0.23605187921492243</c:v>
                </c:pt>
                <c:pt idx="8">
                  <c:v>-0.16662853885699141</c:v>
                </c:pt>
                <c:pt idx="9">
                  <c:v>-0.20076336642263864</c:v>
                </c:pt>
                <c:pt idx="10">
                  <c:v>0.51675600424673629</c:v>
                </c:pt>
                <c:pt idx="11">
                  <c:v>0.48784354737406654</c:v>
                </c:pt>
                <c:pt idx="12">
                  <c:v>1.2373136063141376E-2</c:v>
                </c:pt>
                <c:pt idx="13">
                  <c:v>-4.2323120646522307E-2</c:v>
                </c:pt>
                <c:pt idx="14">
                  <c:v>-0.33059374883711867</c:v>
                </c:pt>
                <c:pt idx="15">
                  <c:v>-0.34436953838157791</c:v>
                </c:pt>
                <c:pt idx="16">
                  <c:v>-0.62176277108105626</c:v>
                </c:pt>
                <c:pt idx="17">
                  <c:v>-0.83268974699976428</c:v>
                </c:pt>
                <c:pt idx="18">
                  <c:v>-0.50447251423832618</c:v>
                </c:pt>
                <c:pt idx="19">
                  <c:v>0.18421975407703489</c:v>
                </c:pt>
                <c:pt idx="20">
                  <c:v>-0.36308832290161042</c:v>
                </c:pt>
                <c:pt idx="21">
                  <c:v>-0.32124575017881118</c:v>
                </c:pt>
                <c:pt idx="22">
                  <c:v>-0.58976421897386588</c:v>
                </c:pt>
                <c:pt idx="23">
                  <c:v>-0.20667244777780561</c:v>
                </c:pt>
                <c:pt idx="24">
                  <c:v>-0.56291572674928114</c:v>
                </c:pt>
                <c:pt idx="25">
                  <c:v>-0.79023974787356122</c:v>
                </c:pt>
                <c:pt idx="26">
                  <c:v>-0.53616736366057804</c:v>
                </c:pt>
                <c:pt idx="27">
                  <c:v>-0.50029460345977395</c:v>
                </c:pt>
                <c:pt idx="28">
                  <c:v>-9.1726110261675153E-2</c:v>
                </c:pt>
                <c:pt idx="29">
                  <c:v>-0.2796080882953364</c:v>
                </c:pt>
                <c:pt idx="30">
                  <c:v>-0.10296560796222036</c:v>
                </c:pt>
                <c:pt idx="31">
                  <c:v>-0.49097887979590693</c:v>
                </c:pt>
                <c:pt idx="32">
                  <c:v>-0.39252864612634225</c:v>
                </c:pt>
                <c:pt idx="33">
                  <c:v>-0.25273586661731062</c:v>
                </c:pt>
                <c:pt idx="34">
                  <c:v>-0.56563562082591567</c:v>
                </c:pt>
                <c:pt idx="35">
                  <c:v>0.27894148456442991</c:v>
                </c:pt>
                <c:pt idx="36">
                  <c:v>-0.52572270296225043</c:v>
                </c:pt>
                <c:pt idx="37">
                  <c:v>-0.93395075618434931</c:v>
                </c:pt>
                <c:pt idx="38">
                  <c:v>-0.65638718479759495</c:v>
                </c:pt>
                <c:pt idx="39">
                  <c:v>-9.1786395630708395E-2</c:v>
                </c:pt>
                <c:pt idx="40">
                  <c:v>-0.36291580624254272</c:v>
                </c:pt>
                <c:pt idx="41">
                  <c:v>-0.15229490284704039</c:v>
                </c:pt>
                <c:pt idx="42">
                  <c:v>-0.21276880558728198</c:v>
                </c:pt>
                <c:pt idx="43">
                  <c:v>0.27337267967789602</c:v>
                </c:pt>
                <c:pt idx="44">
                  <c:v>-0.29266379397975617</c:v>
                </c:pt>
                <c:pt idx="45">
                  <c:v>-0.44696545765917634</c:v>
                </c:pt>
                <c:pt idx="46">
                  <c:v>0.15647369382542439</c:v>
                </c:pt>
                <c:pt idx="47">
                  <c:v>0.52912123372882436</c:v>
                </c:pt>
                <c:pt idx="48">
                  <c:v>0.14190746518110714</c:v>
                </c:pt>
                <c:pt idx="49">
                  <c:v>-0.26510030401239504</c:v>
                </c:pt>
                <c:pt idx="50">
                  <c:v>-0.38846050929234055</c:v>
                </c:pt>
                <c:pt idx="51">
                  <c:v>-4.5723570976395428E-2</c:v>
                </c:pt>
                <c:pt idx="52">
                  <c:v>-0.27787828698932948</c:v>
                </c:pt>
                <c:pt idx="53">
                  <c:v>0.10931169944013847</c:v>
                </c:pt>
                <c:pt idx="54">
                  <c:v>9.6709200718032171E-2</c:v>
                </c:pt>
                <c:pt idx="55">
                  <c:v>0.29233373666683338</c:v>
                </c:pt>
                <c:pt idx="56">
                  <c:v>-0.10137402782546633</c:v>
                </c:pt>
                <c:pt idx="57">
                  <c:v>2.8359748192080081E-3</c:v>
                </c:pt>
                <c:pt idx="58">
                  <c:v>-0.27119736165867575</c:v>
                </c:pt>
                <c:pt idx="59">
                  <c:v>-2.1919486261983281E-2</c:v>
                </c:pt>
                <c:pt idx="60">
                  <c:v>0.69828396466509768</c:v>
                </c:pt>
                <c:pt idx="61">
                  <c:v>-7.6975502699044521E-3</c:v>
                </c:pt>
                <c:pt idx="62">
                  <c:v>-0.19370975688581646</c:v>
                </c:pt>
                <c:pt idx="63">
                  <c:v>0.17938391280661184</c:v>
                </c:pt>
                <c:pt idx="64">
                  <c:v>-1.2067278032126692E-3</c:v>
                </c:pt>
                <c:pt idx="65">
                  <c:v>-0.21921129278660473</c:v>
                </c:pt>
                <c:pt idx="66">
                  <c:v>-0.22194302223770915</c:v>
                </c:pt>
                <c:pt idx="67">
                  <c:v>-0.34896190887443218</c:v>
                </c:pt>
                <c:pt idx="68">
                  <c:v>-0.52970947326778262</c:v>
                </c:pt>
                <c:pt idx="69">
                  <c:v>-0.15638717892794601</c:v>
                </c:pt>
                <c:pt idx="70">
                  <c:v>0.23727522715737634</c:v>
                </c:pt>
                <c:pt idx="71">
                  <c:v>0.35058644659817489</c:v>
                </c:pt>
                <c:pt idx="72">
                  <c:v>0.29685487338411559</c:v>
                </c:pt>
                <c:pt idx="73">
                  <c:v>0.63909218143720103</c:v>
                </c:pt>
                <c:pt idx="74">
                  <c:v>0.55459750309466938</c:v>
                </c:pt>
                <c:pt idx="75">
                  <c:v>0.49083513882566865</c:v>
                </c:pt>
                <c:pt idx="76">
                  <c:v>2.852914611397361E-2</c:v>
                </c:pt>
                <c:pt idx="77">
                  <c:v>-0.34795025779924194</c:v>
                </c:pt>
                <c:pt idx="78">
                  <c:v>-0.47136936143351865</c:v>
                </c:pt>
                <c:pt idx="79">
                  <c:v>-0.38266257327286107</c:v>
                </c:pt>
                <c:pt idx="80">
                  <c:v>-1.5836741826346576E-2</c:v>
                </c:pt>
                <c:pt idx="81">
                  <c:v>0.86300809162856662</c:v>
                </c:pt>
                <c:pt idx="82">
                  <c:v>0.35616981638328693</c:v>
                </c:pt>
                <c:pt idx="83">
                  <c:v>-9.7938031042754062E-3</c:v>
                </c:pt>
                <c:pt idx="84">
                  <c:v>0.31915166932117622</c:v>
                </c:pt>
                <c:pt idx="85">
                  <c:v>-0.12807999282751312</c:v>
                </c:pt>
                <c:pt idx="86">
                  <c:v>-0.3214360488103386</c:v>
                </c:pt>
                <c:pt idx="87">
                  <c:v>-0.11406607711352797</c:v>
                </c:pt>
                <c:pt idx="88">
                  <c:v>2.723571761924265E-2</c:v>
                </c:pt>
                <c:pt idx="89">
                  <c:v>-0.17967346608311599</c:v>
                </c:pt>
                <c:pt idx="90">
                  <c:v>-0.81990612946856478</c:v>
                </c:pt>
                <c:pt idx="91">
                  <c:v>0.26191801106509732</c:v>
                </c:pt>
                <c:pt idx="92">
                  <c:v>-6.0215080689851493E-2</c:v>
                </c:pt>
                <c:pt idx="93">
                  <c:v>0.74676851296286928</c:v>
                </c:pt>
                <c:pt idx="94">
                  <c:v>0.10613321704720032</c:v>
                </c:pt>
                <c:pt idx="95">
                  <c:v>0.70636938072906674</c:v>
                </c:pt>
                <c:pt idx="96">
                  <c:v>4.652092472538872E-2</c:v>
                </c:pt>
                <c:pt idx="97">
                  <c:v>9.3982025470431288E-2</c:v>
                </c:pt>
                <c:pt idx="98">
                  <c:v>0.39954763434412677</c:v>
                </c:pt>
              </c:numCache>
            </c:numRef>
          </c:yVal>
          <c:smooth val="0"/>
          <c:extLst>
            <c:ext xmlns:c16="http://schemas.microsoft.com/office/drawing/2014/chart" uri="{C3380CC4-5D6E-409C-BE32-E72D297353CC}">
              <c16:uniqueId val="{00000000-F67E-458F-A605-8B374E6BD0F5}"/>
            </c:ext>
          </c:extLst>
        </c:ser>
        <c:ser>
          <c:idx val="1"/>
          <c:order val="1"/>
          <c:tx>
            <c:strRef>
              <c:f>lns!$C$2</c:f>
              <c:strCache>
                <c:ptCount val="1"/>
              </c:strCache>
            </c:strRef>
          </c:tx>
          <c:spPr>
            <a:ln w="19050" cap="rnd">
              <a:solidFill>
                <a:schemeClr val="accent2"/>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lns!$C$4:$C$103</c:f>
              <c:numCache>
                <c:formatCode>General</c:formatCode>
                <c:ptCount val="100"/>
                <c:pt idx="0">
                  <c:v>-0.57779732490882729</c:v>
                </c:pt>
                <c:pt idx="1">
                  <c:v>-5.8476929758975837E-2</c:v>
                </c:pt>
                <c:pt idx="2">
                  <c:v>0.70430470325582228</c:v>
                </c:pt>
                <c:pt idx="3">
                  <c:v>0.45280660441721399</c:v>
                </c:pt>
                <c:pt idx="4">
                  <c:v>0.61772834960612277</c:v>
                </c:pt>
                <c:pt idx="5">
                  <c:v>0.88961405232400814</c:v>
                </c:pt>
                <c:pt idx="6">
                  <c:v>0.78093367373605982</c:v>
                </c:pt>
                <c:pt idx="7">
                  <c:v>0.25193312573704629</c:v>
                </c:pt>
                <c:pt idx="8">
                  <c:v>-4.473993399446605E-3</c:v>
                </c:pt>
                <c:pt idx="9">
                  <c:v>-0.1111326982525174</c:v>
                </c:pt>
                <c:pt idx="10">
                  <c:v>0.46581988959940457</c:v>
                </c:pt>
                <c:pt idx="11">
                  <c:v>0.61873608554605397</c:v>
                </c:pt>
                <c:pt idx="12">
                  <c:v>0.37256994640389501</c:v>
                </c:pt>
                <c:pt idx="13">
                  <c:v>0.18472699474033857</c:v>
                </c:pt>
                <c:pt idx="14">
                  <c:v>-0.40000305233115735</c:v>
                </c:pt>
                <c:pt idx="15">
                  <c:v>-0.39887437478421522</c:v>
                </c:pt>
                <c:pt idx="16">
                  <c:v>-0.3932485352411878</c:v>
                </c:pt>
                <c:pt idx="17">
                  <c:v>-0.72435099509259526</c:v>
                </c:pt>
                <c:pt idx="18">
                  <c:v>-0.33726455041890901</c:v>
                </c:pt>
                <c:pt idx="19">
                  <c:v>0.26460022438341801</c:v>
                </c:pt>
                <c:pt idx="20">
                  <c:v>-0.12398623578102401</c:v>
                </c:pt>
                <c:pt idx="21">
                  <c:v>-0.17765764973644846</c:v>
                </c:pt>
                <c:pt idx="22">
                  <c:v>-0.5344832721166658</c:v>
                </c:pt>
                <c:pt idx="23">
                  <c:v>-0.108460872356177</c:v>
                </c:pt>
                <c:pt idx="24">
                  <c:v>-0.61085224183316122</c:v>
                </c:pt>
                <c:pt idx="25">
                  <c:v>-0.84751355031327014</c:v>
                </c:pt>
                <c:pt idx="26">
                  <c:v>-0.71635234994266039</c:v>
                </c:pt>
                <c:pt idx="27">
                  <c:v>-0.88186998167202491</c:v>
                </c:pt>
                <c:pt idx="28">
                  <c:v>-0.29207035355521044</c:v>
                </c:pt>
                <c:pt idx="29">
                  <c:v>-0.34909375391841913</c:v>
                </c:pt>
                <c:pt idx="30">
                  <c:v>-0.11510898910779314</c:v>
                </c:pt>
                <c:pt idx="31">
                  <c:v>-0.4672953000823607</c:v>
                </c:pt>
                <c:pt idx="32">
                  <c:v>-0.48745420877617579</c:v>
                </c:pt>
                <c:pt idx="33">
                  <c:v>-0.46472956162304446</c:v>
                </c:pt>
                <c:pt idx="34">
                  <c:v>-0.82057836023253861</c:v>
                </c:pt>
                <c:pt idx="35">
                  <c:v>0.10946408449056355</c:v>
                </c:pt>
                <c:pt idx="36">
                  <c:v>-0.48293649945080813</c:v>
                </c:pt>
                <c:pt idx="37">
                  <c:v>-0.99232979815974498</c:v>
                </c:pt>
                <c:pt idx="38">
                  <c:v>-0.91039564211063739</c:v>
                </c:pt>
                <c:pt idx="39">
                  <c:v>-0.39117766150009486</c:v>
                </c:pt>
                <c:pt idx="40">
                  <c:v>-0.74585199699197358</c:v>
                </c:pt>
                <c:pt idx="41">
                  <c:v>-0.49620634146282616</c:v>
                </c:pt>
                <c:pt idx="42">
                  <c:v>-0.21179444672606712</c:v>
                </c:pt>
                <c:pt idx="43">
                  <c:v>0.11472948943690137</c:v>
                </c:pt>
                <c:pt idx="44">
                  <c:v>-0.3865746614281339</c:v>
                </c:pt>
                <c:pt idx="45">
                  <c:v>-0.61420846667874374</c:v>
                </c:pt>
                <c:pt idx="46">
                  <c:v>0.13349889209638613</c:v>
                </c:pt>
                <c:pt idx="47">
                  <c:v>0.32452977994524601</c:v>
                </c:pt>
                <c:pt idx="48">
                  <c:v>-4.4847795526988185E-2</c:v>
                </c:pt>
                <c:pt idx="49">
                  <c:v>-0.37148840925610288</c:v>
                </c:pt>
                <c:pt idx="50">
                  <c:v>-0.43274638089002776</c:v>
                </c:pt>
                <c:pt idx="51">
                  <c:v>-4.2315818052588772E-2</c:v>
                </c:pt>
                <c:pt idx="52">
                  <c:v>-0.27453158703168357</c:v>
                </c:pt>
                <c:pt idx="53">
                  <c:v>7.9541043399515399E-2</c:v>
                </c:pt>
                <c:pt idx="54">
                  <c:v>-9.4153548959743871E-2</c:v>
                </c:pt>
                <c:pt idx="55">
                  <c:v>0.22138200069454894</c:v>
                </c:pt>
                <c:pt idx="56">
                  <c:v>-0.12513474335727839</c:v>
                </c:pt>
                <c:pt idx="57">
                  <c:v>-0.18095009767409037</c:v>
                </c:pt>
                <c:pt idx="58">
                  <c:v>-0.37306132753182947</c:v>
                </c:pt>
                <c:pt idx="59">
                  <c:v>-4.5768583744850558E-2</c:v>
                </c:pt>
                <c:pt idx="60">
                  <c:v>0.7167318625486403</c:v>
                </c:pt>
                <c:pt idx="61">
                  <c:v>5.0189185083139257E-2</c:v>
                </c:pt>
                <c:pt idx="62">
                  <c:v>-0.20898057148630217</c:v>
                </c:pt>
                <c:pt idx="63">
                  <c:v>7.41886831822135E-2</c:v>
                </c:pt>
                <c:pt idx="64">
                  <c:v>-9.3368266538984002E-2</c:v>
                </c:pt>
                <c:pt idx="65">
                  <c:v>-0.41479903397792467</c:v>
                </c:pt>
                <c:pt idx="66">
                  <c:v>-0.50109313842161074</c:v>
                </c:pt>
                <c:pt idx="67">
                  <c:v>-0.45233189814806601</c:v>
                </c:pt>
                <c:pt idx="68">
                  <c:v>-0.60740444128428173</c:v>
                </c:pt>
                <c:pt idx="69">
                  <c:v>-0.2240126788961897</c:v>
                </c:pt>
                <c:pt idx="70">
                  <c:v>6.2664891990191804E-2</c:v>
                </c:pt>
                <c:pt idx="71">
                  <c:v>0.27714677053639819</c:v>
                </c:pt>
                <c:pt idx="72">
                  <c:v>0.19468646196408521</c:v>
                </c:pt>
                <c:pt idx="73">
                  <c:v>0.31863553277343049</c:v>
                </c:pt>
                <c:pt idx="74">
                  <c:v>0.27654023203293632</c:v>
                </c:pt>
                <c:pt idx="75">
                  <c:v>0.56859818231379899</c:v>
                </c:pt>
                <c:pt idx="76">
                  <c:v>0.10784043810664656</c:v>
                </c:pt>
                <c:pt idx="77">
                  <c:v>-0.23112532105586744</c:v>
                </c:pt>
                <c:pt idx="78">
                  <c:v>-0.35597233368427877</c:v>
                </c:pt>
                <c:pt idx="79">
                  <c:v>-0.35765113454348979</c:v>
                </c:pt>
                <c:pt idx="80">
                  <c:v>-4.6378025715938527E-2</c:v>
                </c:pt>
                <c:pt idx="81">
                  <c:v>0.82940734669322425</c:v>
                </c:pt>
                <c:pt idx="82">
                  <c:v>0.36119272338755598</c:v>
                </c:pt>
                <c:pt idx="83">
                  <c:v>4.519322674875343E-2</c:v>
                </c:pt>
                <c:pt idx="84">
                  <c:v>0.41753200932630241</c:v>
                </c:pt>
                <c:pt idx="85">
                  <c:v>-0.18162739777808151</c:v>
                </c:pt>
                <c:pt idx="86">
                  <c:v>-0.41426017153979255</c:v>
                </c:pt>
                <c:pt idx="87">
                  <c:v>-0.32998432868568783</c:v>
                </c:pt>
                <c:pt idx="88">
                  <c:v>-4.3231144192277471E-2</c:v>
                </c:pt>
                <c:pt idx="89">
                  <c:v>-0.13150487596860549</c:v>
                </c:pt>
                <c:pt idx="90">
                  <c:v>-0.54844615123289842</c:v>
                </c:pt>
                <c:pt idx="91">
                  <c:v>0.18918130814166426</c:v>
                </c:pt>
                <c:pt idx="92">
                  <c:v>-0.12812432292305176</c:v>
                </c:pt>
                <c:pt idx="93">
                  <c:v>0.67848521737929846</c:v>
                </c:pt>
                <c:pt idx="94">
                  <c:v>-0.1522448304458312</c:v>
                </c:pt>
                <c:pt idx="95">
                  <c:v>0.45889844430521437</c:v>
                </c:pt>
                <c:pt idx="96">
                  <c:v>-8.0128211328869797E-2</c:v>
                </c:pt>
                <c:pt idx="97">
                  <c:v>-0.18012716623101893</c:v>
                </c:pt>
                <c:pt idx="98">
                  <c:v>0.22719931557204007</c:v>
                </c:pt>
              </c:numCache>
            </c:numRef>
          </c:yVal>
          <c:smooth val="0"/>
          <c:extLst>
            <c:ext xmlns:c16="http://schemas.microsoft.com/office/drawing/2014/chart" uri="{C3380CC4-5D6E-409C-BE32-E72D297353CC}">
              <c16:uniqueId val="{00000001-F67E-458F-A605-8B374E6BD0F5}"/>
            </c:ext>
          </c:extLst>
        </c:ser>
        <c:ser>
          <c:idx val="2"/>
          <c:order val="2"/>
          <c:tx>
            <c:strRef>
              <c:f>lns!$D$2</c:f>
              <c:strCache>
                <c:ptCount val="1"/>
              </c:strCache>
            </c:strRef>
          </c:tx>
          <c:spPr>
            <a:ln w="19050" cap="rnd">
              <a:solidFill>
                <a:schemeClr val="accent3"/>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lns!$D$4:$D$103</c:f>
              <c:numCache>
                <c:formatCode>General</c:formatCode>
                <c:ptCount val="100"/>
                <c:pt idx="0">
                  <c:v>-0.41574274251929855</c:v>
                </c:pt>
                <c:pt idx="1">
                  <c:v>-0.28620050385009427</c:v>
                </c:pt>
                <c:pt idx="2">
                  <c:v>0.82154039532834433</c:v>
                </c:pt>
                <c:pt idx="3">
                  <c:v>0.38954573122594804</c:v>
                </c:pt>
                <c:pt idx="4">
                  <c:v>0.57009214731372826</c:v>
                </c:pt>
                <c:pt idx="5">
                  <c:v>0.89946191840718148</c:v>
                </c:pt>
                <c:pt idx="6">
                  <c:v>0.84018692320926025</c:v>
                </c:pt>
                <c:pt idx="7">
                  <c:v>0.20039884033107513</c:v>
                </c:pt>
                <c:pt idx="8">
                  <c:v>-6.4419061606478423E-2</c:v>
                </c:pt>
                <c:pt idx="9">
                  <c:v>-0.21781775855886204</c:v>
                </c:pt>
                <c:pt idx="10">
                  <c:v>0.48943854188434294</c:v>
                </c:pt>
                <c:pt idx="11">
                  <c:v>0.44844796628001871</c:v>
                </c:pt>
                <c:pt idx="12">
                  <c:v>0.24457622191667594</c:v>
                </c:pt>
                <c:pt idx="13">
                  <c:v>0.12387113219686051</c:v>
                </c:pt>
                <c:pt idx="14">
                  <c:v>-0.42777206863070505</c:v>
                </c:pt>
                <c:pt idx="15">
                  <c:v>-0.40490526484965034</c:v>
                </c:pt>
                <c:pt idx="16">
                  <c:v>-0.53012737652076902</c:v>
                </c:pt>
                <c:pt idx="17">
                  <c:v>-1.0958840137969508</c:v>
                </c:pt>
                <c:pt idx="18">
                  <c:v>-0.51748273323028715</c:v>
                </c:pt>
                <c:pt idx="19">
                  <c:v>0.28018906989283926</c:v>
                </c:pt>
                <c:pt idx="20">
                  <c:v>-0.21638022425995129</c:v>
                </c:pt>
                <c:pt idx="21">
                  <c:v>-0.19258888588575568</c:v>
                </c:pt>
                <c:pt idx="22">
                  <c:v>-0.66248995268256894</c:v>
                </c:pt>
                <c:pt idx="23">
                  <c:v>-0.2843861765554283</c:v>
                </c:pt>
                <c:pt idx="24">
                  <c:v>-0.59812067735165797</c:v>
                </c:pt>
                <c:pt idx="25">
                  <c:v>-0.74963922823585627</c:v>
                </c:pt>
                <c:pt idx="26">
                  <c:v>-0.56595785640403984</c:v>
                </c:pt>
                <c:pt idx="27">
                  <c:v>-0.72365174989822945</c:v>
                </c:pt>
                <c:pt idx="28">
                  <c:v>-0.17494046420269982</c:v>
                </c:pt>
                <c:pt idx="29">
                  <c:v>-0.21774564625261708</c:v>
                </c:pt>
                <c:pt idx="30">
                  <c:v>-8.6893202154368854E-2</c:v>
                </c:pt>
                <c:pt idx="31">
                  <c:v>-0.5697673915425927</c:v>
                </c:pt>
                <c:pt idx="32">
                  <c:v>-0.49651681807977804</c:v>
                </c:pt>
                <c:pt idx="33">
                  <c:v>-0.36817221354205443</c:v>
                </c:pt>
                <c:pt idx="34">
                  <c:v>-0.5951188800132573</c:v>
                </c:pt>
                <c:pt idx="35">
                  <c:v>2.4868206928880785E-2</c:v>
                </c:pt>
                <c:pt idx="36">
                  <c:v>-0.61253355896570305</c:v>
                </c:pt>
                <c:pt idx="37">
                  <c:v>-1.0421119246287798</c:v>
                </c:pt>
                <c:pt idx="38">
                  <c:v>-0.93865904773616338</c:v>
                </c:pt>
                <c:pt idx="39">
                  <c:v>-0.35284087481286985</c:v>
                </c:pt>
                <c:pt idx="40">
                  <c:v>-0.53120011454492722</c:v>
                </c:pt>
                <c:pt idx="41">
                  <c:v>-0.39989117139622316</c:v>
                </c:pt>
                <c:pt idx="42">
                  <c:v>-0.35091300441237433</c:v>
                </c:pt>
                <c:pt idx="43">
                  <c:v>4.9504194903089091E-2</c:v>
                </c:pt>
                <c:pt idx="44">
                  <c:v>-0.33528673960057176</c:v>
                </c:pt>
                <c:pt idx="45">
                  <c:v>-0.58964338754528389</c:v>
                </c:pt>
                <c:pt idx="46">
                  <c:v>2.7838877416499722E-2</c:v>
                </c:pt>
                <c:pt idx="47">
                  <c:v>0.24231853070025075</c:v>
                </c:pt>
                <c:pt idx="48">
                  <c:v>-0.15773158361716896</c:v>
                </c:pt>
                <c:pt idx="49">
                  <c:v>-0.42246071876438174</c:v>
                </c:pt>
                <c:pt idx="50">
                  <c:v>-0.56505480259512841</c:v>
                </c:pt>
                <c:pt idx="51">
                  <c:v>-0.15541130741776335</c:v>
                </c:pt>
                <c:pt idx="52">
                  <c:v>-0.26599233797405092</c:v>
                </c:pt>
                <c:pt idx="53">
                  <c:v>0.13575392097761985</c:v>
                </c:pt>
                <c:pt idx="54">
                  <c:v>-7.9719843133235282E-2</c:v>
                </c:pt>
                <c:pt idx="55">
                  <c:v>0.13321884378622278</c:v>
                </c:pt>
                <c:pt idx="56">
                  <c:v>-0.25842363894100301</c:v>
                </c:pt>
                <c:pt idx="57">
                  <c:v>-0.20815395869744852</c:v>
                </c:pt>
                <c:pt idx="58">
                  <c:v>-0.48324450400522617</c:v>
                </c:pt>
                <c:pt idx="59">
                  <c:v>-0.1248050070923102</c:v>
                </c:pt>
                <c:pt idx="60">
                  <c:v>0.59339314142263777</c:v>
                </c:pt>
                <c:pt idx="61">
                  <c:v>-6.1635007083759054E-2</c:v>
                </c:pt>
                <c:pt idx="62">
                  <c:v>-0.26223007347150556</c:v>
                </c:pt>
                <c:pt idx="63">
                  <c:v>9.7353545255909918E-2</c:v>
                </c:pt>
                <c:pt idx="64">
                  <c:v>-8.4155821607828016E-2</c:v>
                </c:pt>
                <c:pt idx="65">
                  <c:v>-0.51259886169015012</c:v>
                </c:pt>
                <c:pt idx="66">
                  <c:v>-0.52713625518290097</c:v>
                </c:pt>
                <c:pt idx="67">
                  <c:v>-0.4675298914595703</c:v>
                </c:pt>
                <c:pt idx="68">
                  <c:v>-0.53757351365919614</c:v>
                </c:pt>
                <c:pt idx="69">
                  <c:v>-0.27432237856916203</c:v>
                </c:pt>
                <c:pt idx="70">
                  <c:v>5.1329793721441738E-2</c:v>
                </c:pt>
                <c:pt idx="71">
                  <c:v>0.1636058385980135</c:v>
                </c:pt>
                <c:pt idx="72">
                  <c:v>7.1948499312584041E-2</c:v>
                </c:pt>
                <c:pt idx="73">
                  <c:v>0.3292030226455982</c:v>
                </c:pt>
                <c:pt idx="74">
                  <c:v>0.20068524081091252</c:v>
                </c:pt>
                <c:pt idx="75">
                  <c:v>0.50890578204867132</c:v>
                </c:pt>
                <c:pt idx="76">
                  <c:v>0.11589681341271334</c:v>
                </c:pt>
                <c:pt idx="77">
                  <c:v>-0.26654569447373089</c:v>
                </c:pt>
                <c:pt idx="78">
                  <c:v>-0.2689165841055054</c:v>
                </c:pt>
                <c:pt idx="79">
                  <c:v>-0.36865065305785333</c:v>
                </c:pt>
                <c:pt idx="80">
                  <c:v>-6.966095174573543E-2</c:v>
                </c:pt>
                <c:pt idx="81">
                  <c:v>0.80906625790264386</c:v>
                </c:pt>
                <c:pt idx="82">
                  <c:v>0.44486529233503613</c:v>
                </c:pt>
                <c:pt idx="83">
                  <c:v>0.10426992117579686</c:v>
                </c:pt>
                <c:pt idx="84">
                  <c:v>0.2394577481647637</c:v>
                </c:pt>
                <c:pt idx="85">
                  <c:v>-0.30942201513214379</c:v>
                </c:pt>
                <c:pt idx="86">
                  <c:v>-0.33973073978094925</c:v>
                </c:pt>
                <c:pt idx="87">
                  <c:v>-0.30082810412179617</c:v>
                </c:pt>
                <c:pt idx="88">
                  <c:v>-1.3413560917421635E-2</c:v>
                </c:pt>
                <c:pt idx="89">
                  <c:v>-0.19115929480813881</c:v>
                </c:pt>
                <c:pt idx="90">
                  <c:v>-0.7846793062071703</c:v>
                </c:pt>
                <c:pt idx="91">
                  <c:v>6.065285671194405E-2</c:v>
                </c:pt>
                <c:pt idx="92">
                  <c:v>-0.18032115892456921</c:v>
                </c:pt>
                <c:pt idx="93">
                  <c:v>0.67680436121977183</c:v>
                </c:pt>
                <c:pt idx="94">
                  <c:v>-0.13233325353705008</c:v>
                </c:pt>
                <c:pt idx="95">
                  <c:v>0.4142464391155033</c:v>
                </c:pt>
                <c:pt idx="96">
                  <c:v>-0.10910083527354957</c:v>
                </c:pt>
                <c:pt idx="97">
                  <c:v>-5.2515093111301051E-2</c:v>
                </c:pt>
                <c:pt idx="98">
                  <c:v>0.24219295383134501</c:v>
                </c:pt>
              </c:numCache>
            </c:numRef>
          </c:yVal>
          <c:smooth val="0"/>
          <c:extLst>
            <c:ext xmlns:c16="http://schemas.microsoft.com/office/drawing/2014/chart" uri="{C3380CC4-5D6E-409C-BE32-E72D297353CC}">
              <c16:uniqueId val="{00000002-F67E-458F-A605-8B374E6BD0F5}"/>
            </c:ext>
          </c:extLst>
        </c:ser>
        <c:ser>
          <c:idx val="3"/>
          <c:order val="3"/>
          <c:tx>
            <c:strRef>
              <c:f>lns!$E$2</c:f>
              <c:strCache>
                <c:ptCount val="1"/>
              </c:strCache>
            </c:strRef>
          </c:tx>
          <c:spPr>
            <a:ln w="19050" cap="rnd">
              <a:solidFill>
                <a:schemeClr val="accent4"/>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lns!$E$4:$E$103</c:f>
              <c:numCache>
                <c:formatCode>General</c:formatCode>
                <c:ptCount val="100"/>
                <c:pt idx="0">
                  <c:v>-0.75311589253228028</c:v>
                </c:pt>
                <c:pt idx="1">
                  <c:v>-0.20491078305315005</c:v>
                </c:pt>
                <c:pt idx="2">
                  <c:v>0.59369141969638195</c:v>
                </c:pt>
                <c:pt idx="3">
                  <c:v>0.22927670501765696</c:v>
                </c:pt>
                <c:pt idx="4">
                  <c:v>0.80478246859305735</c:v>
                </c:pt>
                <c:pt idx="5">
                  <c:v>1.2175058186085204</c:v>
                </c:pt>
                <c:pt idx="6">
                  <c:v>1.1804011632122084</c:v>
                </c:pt>
                <c:pt idx="7">
                  <c:v>0.22366341616106086</c:v>
                </c:pt>
                <c:pt idx="8">
                  <c:v>-0.14382995553200648</c:v>
                </c:pt>
                <c:pt idx="9">
                  <c:v>-0.13420704940059183</c:v>
                </c:pt>
                <c:pt idx="10">
                  <c:v>0.54179508105112595</c:v>
                </c:pt>
                <c:pt idx="11">
                  <c:v>0.57995608578693048</c:v>
                </c:pt>
                <c:pt idx="12">
                  <c:v>0.17116791892386501</c:v>
                </c:pt>
                <c:pt idx="13">
                  <c:v>-9.4621716849340842E-2</c:v>
                </c:pt>
                <c:pt idx="14">
                  <c:v>-0.2994348667666577</c:v>
                </c:pt>
                <c:pt idx="15">
                  <c:v>-0.39745676069469604</c:v>
                </c:pt>
                <c:pt idx="16">
                  <c:v>-0.41716528905640088</c:v>
                </c:pt>
                <c:pt idx="17">
                  <c:v>-0.66302154870540153</c:v>
                </c:pt>
                <c:pt idx="18">
                  <c:v>-0.44074778551284527</c:v>
                </c:pt>
                <c:pt idx="19">
                  <c:v>0.24866313893961858</c:v>
                </c:pt>
                <c:pt idx="20">
                  <c:v>-0.15463596422535328</c:v>
                </c:pt>
                <c:pt idx="21">
                  <c:v>-6.9190390992644735E-2</c:v>
                </c:pt>
                <c:pt idx="22">
                  <c:v>-0.34994762318930583</c:v>
                </c:pt>
                <c:pt idx="23">
                  <c:v>-0.33157962498900656</c:v>
                </c:pt>
                <c:pt idx="24">
                  <c:v>-0.7163994309701408</c:v>
                </c:pt>
                <c:pt idx="25">
                  <c:v>-0.80386647329487382</c:v>
                </c:pt>
                <c:pt idx="26">
                  <c:v>-0.70387855634931473</c:v>
                </c:pt>
                <c:pt idx="27">
                  <c:v>-0.85370802835155857</c:v>
                </c:pt>
                <c:pt idx="28">
                  <c:v>-0.39096918354366567</c:v>
                </c:pt>
                <c:pt idx="29">
                  <c:v>-0.6062138066124737</c:v>
                </c:pt>
                <c:pt idx="30">
                  <c:v>-0.24828573369593768</c:v>
                </c:pt>
                <c:pt idx="31">
                  <c:v>-0.76760352107918817</c:v>
                </c:pt>
                <c:pt idx="32">
                  <c:v>-0.64310637020315553</c:v>
                </c:pt>
                <c:pt idx="33">
                  <c:v>-0.518760353974272</c:v>
                </c:pt>
                <c:pt idx="34">
                  <c:v>-0.64990763068299573</c:v>
                </c:pt>
                <c:pt idx="35">
                  <c:v>-5.8058230318103338E-2</c:v>
                </c:pt>
                <c:pt idx="36">
                  <c:v>-0.71459351800780235</c:v>
                </c:pt>
                <c:pt idx="37">
                  <c:v>-1.1022077445800837</c:v>
                </c:pt>
                <c:pt idx="38">
                  <c:v>-0.88684844127419737</c:v>
                </c:pt>
                <c:pt idx="39">
                  <c:v>-0.41215896204261099</c:v>
                </c:pt>
                <c:pt idx="40">
                  <c:v>-0.8050423338651127</c:v>
                </c:pt>
                <c:pt idx="41">
                  <c:v>-0.620387545575802</c:v>
                </c:pt>
                <c:pt idx="42">
                  <c:v>-0.35752816497115453</c:v>
                </c:pt>
                <c:pt idx="43">
                  <c:v>3.6061883145022074E-2</c:v>
                </c:pt>
                <c:pt idx="44">
                  <c:v>-0.35839928690677841</c:v>
                </c:pt>
                <c:pt idx="45">
                  <c:v>-0.7227943467054645</c:v>
                </c:pt>
                <c:pt idx="46">
                  <c:v>1.7004598815823765E-2</c:v>
                </c:pt>
                <c:pt idx="47">
                  <c:v>0.25962975988461989</c:v>
                </c:pt>
                <c:pt idx="48">
                  <c:v>-7.9263305244452447E-3</c:v>
                </c:pt>
                <c:pt idx="49">
                  <c:v>-0.47560971401522001</c:v>
                </c:pt>
                <c:pt idx="50">
                  <c:v>-0.66406033433231582</c:v>
                </c:pt>
                <c:pt idx="51">
                  <c:v>-0.23112658107379755</c:v>
                </c:pt>
                <c:pt idx="52">
                  <c:v>-0.34381795043622404</c:v>
                </c:pt>
                <c:pt idx="53">
                  <c:v>0.17736763971760788</c:v>
                </c:pt>
                <c:pt idx="54">
                  <c:v>-7.8420024935573623E-2</c:v>
                </c:pt>
                <c:pt idx="55">
                  <c:v>0.15587490677897109</c:v>
                </c:pt>
                <c:pt idx="56">
                  <c:v>-0.19393918080821171</c:v>
                </c:pt>
                <c:pt idx="57">
                  <c:v>-0.31783892015353421</c:v>
                </c:pt>
                <c:pt idx="58">
                  <c:v>-0.51394882923197172</c:v>
                </c:pt>
                <c:pt idx="59">
                  <c:v>-0.19062432961653014</c:v>
                </c:pt>
                <c:pt idx="60">
                  <c:v>0.59001196486231877</c:v>
                </c:pt>
                <c:pt idx="61">
                  <c:v>-3.6412978531794753E-2</c:v>
                </c:pt>
                <c:pt idx="62">
                  <c:v>-0.33269478020173598</c:v>
                </c:pt>
                <c:pt idx="63">
                  <c:v>-0.10070802197716949</c:v>
                </c:pt>
                <c:pt idx="64">
                  <c:v>-0.24044358770491642</c:v>
                </c:pt>
                <c:pt idx="65">
                  <c:v>-0.57668234668322338</c:v>
                </c:pt>
                <c:pt idx="66">
                  <c:v>-0.55375922115117748</c:v>
                </c:pt>
                <c:pt idx="67">
                  <c:v>-0.45108609941513234</c:v>
                </c:pt>
                <c:pt idx="68">
                  <c:v>-0.67508331894301399</c:v>
                </c:pt>
                <c:pt idx="69">
                  <c:v>-0.44649024826109629</c:v>
                </c:pt>
                <c:pt idx="70">
                  <c:v>3.2641424715762202E-2</c:v>
                </c:pt>
                <c:pt idx="71">
                  <c:v>0.33833478671168399</c:v>
                </c:pt>
                <c:pt idx="72">
                  <c:v>0.1319839459462564</c:v>
                </c:pt>
                <c:pt idx="73">
                  <c:v>0.28629861591694805</c:v>
                </c:pt>
                <c:pt idx="74">
                  <c:v>0.18250487332378618</c:v>
                </c:pt>
                <c:pt idx="75">
                  <c:v>0.5413179707015815</c:v>
                </c:pt>
                <c:pt idx="76">
                  <c:v>7.7136951588903255E-2</c:v>
                </c:pt>
                <c:pt idx="77">
                  <c:v>-0.26880143868849288</c:v>
                </c:pt>
                <c:pt idx="78">
                  <c:v>-0.34902428500820959</c:v>
                </c:pt>
                <c:pt idx="79">
                  <c:v>-0.33491624779993101</c:v>
                </c:pt>
                <c:pt idx="80">
                  <c:v>1.0094902931736811E-3</c:v>
                </c:pt>
                <c:pt idx="81">
                  <c:v>0.93544609091389641</c:v>
                </c:pt>
                <c:pt idx="82">
                  <c:v>0.5857735287916026</c:v>
                </c:pt>
                <c:pt idx="83">
                  <c:v>0.20196077204630308</c:v>
                </c:pt>
                <c:pt idx="84">
                  <c:v>0.45311176157551736</c:v>
                </c:pt>
                <c:pt idx="85">
                  <c:v>-0.11984378253743376</c:v>
                </c:pt>
                <c:pt idx="86">
                  <c:v>-0.34794459316806609</c:v>
                </c:pt>
                <c:pt idx="87">
                  <c:v>-0.26055859566905137</c:v>
                </c:pt>
                <c:pt idx="88">
                  <c:v>-2.0748774752553253E-2</c:v>
                </c:pt>
                <c:pt idx="89">
                  <c:v>-0.14680770557199979</c:v>
                </c:pt>
                <c:pt idx="90">
                  <c:v>-0.73860490348472863</c:v>
                </c:pt>
                <c:pt idx="91">
                  <c:v>0.11505041656245515</c:v>
                </c:pt>
                <c:pt idx="92">
                  <c:v>-0.17990807159383071</c:v>
                </c:pt>
                <c:pt idx="93">
                  <c:v>0.80446491669189824</c:v>
                </c:pt>
                <c:pt idx="94">
                  <c:v>-0.18582368208212638</c:v>
                </c:pt>
                <c:pt idx="95">
                  <c:v>0.26615706270618728</c:v>
                </c:pt>
                <c:pt idx="96">
                  <c:v>-0.14648000812991274</c:v>
                </c:pt>
                <c:pt idx="97">
                  <c:v>-0.20325269261641696</c:v>
                </c:pt>
                <c:pt idx="98">
                  <c:v>0.15903587068486968</c:v>
                </c:pt>
              </c:numCache>
            </c:numRef>
          </c:yVal>
          <c:smooth val="0"/>
          <c:extLst>
            <c:ext xmlns:c16="http://schemas.microsoft.com/office/drawing/2014/chart" uri="{C3380CC4-5D6E-409C-BE32-E72D297353CC}">
              <c16:uniqueId val="{00000003-F67E-458F-A605-8B374E6BD0F5}"/>
            </c:ext>
          </c:extLst>
        </c:ser>
        <c:ser>
          <c:idx val="4"/>
          <c:order val="4"/>
          <c:tx>
            <c:strRef>
              <c:f>lns!$F$2</c:f>
              <c:strCache>
                <c:ptCount val="1"/>
              </c:strCache>
            </c:strRef>
          </c:tx>
          <c:spPr>
            <a:ln w="19050" cap="rnd">
              <a:solidFill>
                <a:schemeClr val="accent5"/>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lns!$F$4:$F$103</c:f>
              <c:numCache>
                <c:formatCode>General</c:formatCode>
                <c:ptCount val="100"/>
                <c:pt idx="0">
                  <c:v>-0.66265677356194652</c:v>
                </c:pt>
                <c:pt idx="1">
                  <c:v>-0.1182060000932309</c:v>
                </c:pt>
                <c:pt idx="2">
                  <c:v>0.50430239368864604</c:v>
                </c:pt>
                <c:pt idx="3">
                  <c:v>0.11978103831905659</c:v>
                </c:pt>
                <c:pt idx="4">
                  <c:v>0.79123078359539534</c:v>
                </c:pt>
                <c:pt idx="5">
                  <c:v>1.1277179138067635</c:v>
                </c:pt>
                <c:pt idx="6">
                  <c:v>1.1491596382413256</c:v>
                </c:pt>
                <c:pt idx="7">
                  <c:v>0.4359296489119841</c:v>
                </c:pt>
                <c:pt idx="8">
                  <c:v>-7.6669403666469543E-2</c:v>
                </c:pt>
                <c:pt idx="9">
                  <c:v>-0.29130328781166132</c:v>
                </c:pt>
                <c:pt idx="10">
                  <c:v>0.4269395397747085</c:v>
                </c:pt>
                <c:pt idx="11">
                  <c:v>0.54468197442012123</c:v>
                </c:pt>
                <c:pt idx="12">
                  <c:v>0.32699172395762199</c:v>
                </c:pt>
                <c:pt idx="13">
                  <c:v>0.13824775309069876</c:v>
                </c:pt>
                <c:pt idx="14">
                  <c:v>-0.26702882664197186</c:v>
                </c:pt>
                <c:pt idx="15">
                  <c:v>-0.31626812130468479</c:v>
                </c:pt>
                <c:pt idx="16">
                  <c:v>-0.26067020020498322</c:v>
                </c:pt>
                <c:pt idx="17">
                  <c:v>-0.74866623300503232</c:v>
                </c:pt>
                <c:pt idx="18">
                  <c:v>-0.39488428298897843</c:v>
                </c:pt>
                <c:pt idx="19">
                  <c:v>0.26979810335322024</c:v>
                </c:pt>
                <c:pt idx="20">
                  <c:v>-0.25216822122982613</c:v>
                </c:pt>
                <c:pt idx="21">
                  <c:v>-0.56764644753705606</c:v>
                </c:pt>
                <c:pt idx="22">
                  <c:v>-0.73068706709406017</c:v>
                </c:pt>
                <c:pt idx="23">
                  <c:v>-0.21735533540360855</c:v>
                </c:pt>
                <c:pt idx="24">
                  <c:v>-0.41846068602304892</c:v>
                </c:pt>
                <c:pt idx="25">
                  <c:v>-1.0905607891576288</c:v>
                </c:pt>
                <c:pt idx="26">
                  <c:v>-0.72820664373578636</c:v>
                </c:pt>
                <c:pt idx="27">
                  <c:v>-0.59052200252941911</c:v>
                </c:pt>
                <c:pt idx="28">
                  <c:v>-0.21594576762181972</c:v>
                </c:pt>
                <c:pt idx="29">
                  <c:v>-0.36689412521465103</c:v>
                </c:pt>
                <c:pt idx="30">
                  <c:v>-0.35002283265835543</c:v>
                </c:pt>
                <c:pt idx="31">
                  <c:v>-0.56180493236451934</c:v>
                </c:pt>
                <c:pt idx="32">
                  <c:v>-0.59704277078521484</c:v>
                </c:pt>
                <c:pt idx="33">
                  <c:v>-0.47463835300427826</c:v>
                </c:pt>
                <c:pt idx="34">
                  <c:v>-0.53145359156195815</c:v>
                </c:pt>
                <c:pt idx="35">
                  <c:v>-1.5477155651302891E-2</c:v>
                </c:pt>
                <c:pt idx="36">
                  <c:v>-0.63965001647824038</c:v>
                </c:pt>
                <c:pt idx="37">
                  <c:v>-0.9949119503423598</c:v>
                </c:pt>
                <c:pt idx="38">
                  <c:v>-0.76937832813319984</c:v>
                </c:pt>
                <c:pt idx="39">
                  <c:v>-0.29815808811966943</c:v>
                </c:pt>
                <c:pt idx="40">
                  <c:v>-0.64119250493319191</c:v>
                </c:pt>
                <c:pt idx="41">
                  <c:v>-0.65692711870737663</c:v>
                </c:pt>
                <c:pt idx="42">
                  <c:v>-0.40174254545009497</c:v>
                </c:pt>
                <c:pt idx="43">
                  <c:v>-6.9083232712261147E-2</c:v>
                </c:pt>
                <c:pt idx="44">
                  <c:v>-0.47906374845489408</c:v>
                </c:pt>
                <c:pt idx="45">
                  <c:v>-0.69020750564133149</c:v>
                </c:pt>
                <c:pt idx="46">
                  <c:v>-3.8072652427267963E-2</c:v>
                </c:pt>
                <c:pt idx="47">
                  <c:v>0.1488854140401166</c:v>
                </c:pt>
                <c:pt idx="48">
                  <c:v>-0.25739343951408333</c:v>
                </c:pt>
                <c:pt idx="49">
                  <c:v>-0.50009177156302087</c:v>
                </c:pt>
                <c:pt idx="50">
                  <c:v>-0.79201989867481848</c:v>
                </c:pt>
                <c:pt idx="51">
                  <c:v>-0.32289897157637437</c:v>
                </c:pt>
                <c:pt idx="52">
                  <c:v>-0.32927380759079322</c:v>
                </c:pt>
                <c:pt idx="53">
                  <c:v>0.14919556636185308</c:v>
                </c:pt>
                <c:pt idx="54">
                  <c:v>-0.11971189470953102</c:v>
                </c:pt>
                <c:pt idx="55">
                  <c:v>3.5444360933194599E-2</c:v>
                </c:pt>
                <c:pt idx="56">
                  <c:v>-0.15593944538154192</c:v>
                </c:pt>
                <c:pt idx="57">
                  <c:v>-0.21830029881929525</c:v>
                </c:pt>
                <c:pt idx="58">
                  <c:v>-0.46398179692724134</c:v>
                </c:pt>
                <c:pt idx="59">
                  <c:v>-0.20747076360760525</c:v>
                </c:pt>
                <c:pt idx="60">
                  <c:v>0.55465493178261205</c:v>
                </c:pt>
                <c:pt idx="61">
                  <c:v>-8.1613607557587745E-2</c:v>
                </c:pt>
                <c:pt idx="62">
                  <c:v>-0.3746323603982934</c:v>
                </c:pt>
                <c:pt idx="63">
                  <c:v>-0.14534605454909469</c:v>
                </c:pt>
                <c:pt idx="64">
                  <c:v>-0.19870218979694093</c:v>
                </c:pt>
                <c:pt idx="65">
                  <c:v>-0.5645903907801666</c:v>
                </c:pt>
                <c:pt idx="66">
                  <c:v>-0.66539778129138538</c:v>
                </c:pt>
                <c:pt idx="67">
                  <c:v>-0.59467473327075182</c:v>
                </c:pt>
                <c:pt idx="68">
                  <c:v>-0.69957781282575293</c:v>
                </c:pt>
                <c:pt idx="69">
                  <c:v>-0.3416061928503637</c:v>
                </c:pt>
                <c:pt idx="70">
                  <c:v>-2.0090468718547437E-2</c:v>
                </c:pt>
                <c:pt idx="71">
                  <c:v>0.2579313767998736</c:v>
                </c:pt>
                <c:pt idx="72">
                  <c:v>3.8720588111598959E-2</c:v>
                </c:pt>
                <c:pt idx="73">
                  <c:v>0.30472353830663262</c:v>
                </c:pt>
                <c:pt idx="74">
                  <c:v>0.18595660864699909</c:v>
                </c:pt>
                <c:pt idx="75">
                  <c:v>0.34467422247066642</c:v>
                </c:pt>
                <c:pt idx="76">
                  <c:v>-9.7422108356305603E-2</c:v>
                </c:pt>
                <c:pt idx="77">
                  <c:v>-0.28700896570562973</c:v>
                </c:pt>
                <c:pt idx="78">
                  <c:v>-0.31191738961764515</c:v>
                </c:pt>
                <c:pt idx="79">
                  <c:v>-0.27786640413055114</c:v>
                </c:pt>
                <c:pt idx="80">
                  <c:v>0.16699639069120875</c:v>
                </c:pt>
                <c:pt idx="81">
                  <c:v>0.98236682034900447</c:v>
                </c:pt>
                <c:pt idx="82">
                  <c:v>0.62619508242064592</c:v>
                </c:pt>
                <c:pt idx="83">
                  <c:v>0.22766929467060426</c:v>
                </c:pt>
                <c:pt idx="84">
                  <c:v>0.39040561434837506</c:v>
                </c:pt>
                <c:pt idx="85">
                  <c:v>-0.20335317899508276</c:v>
                </c:pt>
                <c:pt idx="86">
                  <c:v>-0.31720151546790976</c:v>
                </c:pt>
                <c:pt idx="87">
                  <c:v>-0.25474258340998246</c:v>
                </c:pt>
                <c:pt idx="88">
                  <c:v>-1.1911663008212413E-2</c:v>
                </c:pt>
                <c:pt idx="89">
                  <c:v>-0.12692015225791139</c:v>
                </c:pt>
                <c:pt idx="90">
                  <c:v>-0.6879148928822898</c:v>
                </c:pt>
                <c:pt idx="91">
                  <c:v>8.0187312602355176E-2</c:v>
                </c:pt>
                <c:pt idx="92">
                  <c:v>-0.18872642423703687</c:v>
                </c:pt>
                <c:pt idx="93">
                  <c:v>0.8459541008037037</c:v>
                </c:pt>
                <c:pt idx="94">
                  <c:v>-9.1749127882761239E-2</c:v>
                </c:pt>
                <c:pt idx="95">
                  <c:v>0.30737439954747015</c:v>
                </c:pt>
                <c:pt idx="96">
                  <c:v>-0.11196225929238871</c:v>
                </c:pt>
                <c:pt idx="97">
                  <c:v>-0.11847277347083017</c:v>
                </c:pt>
                <c:pt idx="98">
                  <c:v>0.11121037183584638</c:v>
                </c:pt>
              </c:numCache>
            </c:numRef>
          </c:yVal>
          <c:smooth val="0"/>
          <c:extLst>
            <c:ext xmlns:c16="http://schemas.microsoft.com/office/drawing/2014/chart" uri="{C3380CC4-5D6E-409C-BE32-E72D297353CC}">
              <c16:uniqueId val="{00000004-F67E-458F-A605-8B374E6BD0F5}"/>
            </c:ext>
          </c:extLst>
        </c:ser>
        <c:ser>
          <c:idx val="5"/>
          <c:order val="5"/>
          <c:tx>
            <c:strRef>
              <c:f>lns!$G$2</c:f>
              <c:strCache>
                <c:ptCount val="1"/>
              </c:strCache>
            </c:strRef>
          </c:tx>
          <c:spPr>
            <a:ln w="19050" cap="rnd">
              <a:solidFill>
                <a:schemeClr val="accent6"/>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lns!$G$4:$G$103</c:f>
              <c:numCache>
                <c:formatCode>General</c:formatCode>
                <c:ptCount val="100"/>
                <c:pt idx="0">
                  <c:v>-0.67026303152274813</c:v>
                </c:pt>
                <c:pt idx="1">
                  <c:v>-0.32876660143119157</c:v>
                </c:pt>
                <c:pt idx="2">
                  <c:v>0.56534789937806951</c:v>
                </c:pt>
                <c:pt idx="3">
                  <c:v>0.32525238598299006</c:v>
                </c:pt>
                <c:pt idx="4">
                  <c:v>0.9255477531368318</c:v>
                </c:pt>
                <c:pt idx="5">
                  <c:v>1.3545043716302607</c:v>
                </c:pt>
                <c:pt idx="6">
                  <c:v>1.1974948677276969</c:v>
                </c:pt>
                <c:pt idx="7">
                  <c:v>0.56771433457267895</c:v>
                </c:pt>
                <c:pt idx="8">
                  <c:v>0.11066442502972347</c:v>
                </c:pt>
                <c:pt idx="9">
                  <c:v>7.2757775333813293E-2</c:v>
                </c:pt>
                <c:pt idx="10">
                  <c:v>0.32255440276936065</c:v>
                </c:pt>
                <c:pt idx="11">
                  <c:v>0.40685081424046698</c:v>
                </c:pt>
                <c:pt idx="12">
                  <c:v>0.3201613631937078</c:v>
                </c:pt>
                <c:pt idx="13">
                  <c:v>0.17062002681961372</c:v>
                </c:pt>
                <c:pt idx="14">
                  <c:v>-8.2959958715567217E-2</c:v>
                </c:pt>
                <c:pt idx="15">
                  <c:v>-0.11315190093428126</c:v>
                </c:pt>
                <c:pt idx="16">
                  <c:v>-0.15064383599821884</c:v>
                </c:pt>
                <c:pt idx="17">
                  <c:v>-0.62800946397582635</c:v>
                </c:pt>
                <c:pt idx="18">
                  <c:v>-0.44227329374762825</c:v>
                </c:pt>
                <c:pt idx="19">
                  <c:v>-2.6364509431328505E-2</c:v>
                </c:pt>
                <c:pt idx="20">
                  <c:v>-0.50461329364302865</c:v>
                </c:pt>
                <c:pt idx="21">
                  <c:v>-0.20172580745264534</c:v>
                </c:pt>
                <c:pt idx="22">
                  <c:v>-0.48681128993514522</c:v>
                </c:pt>
                <c:pt idx="23">
                  <c:v>-0.13464057897289722</c:v>
                </c:pt>
                <c:pt idx="24">
                  <c:v>-0.37736902560517088</c:v>
                </c:pt>
                <c:pt idx="25">
                  <c:v>-0.57281805560819765</c:v>
                </c:pt>
                <c:pt idx="26">
                  <c:v>-0.61001816351954208</c:v>
                </c:pt>
                <c:pt idx="27">
                  <c:v>-0.55030650409314974</c:v>
                </c:pt>
                <c:pt idx="28">
                  <c:v>-0.33124253537848225</c:v>
                </c:pt>
                <c:pt idx="29">
                  <c:v>-0.52578698890615094</c:v>
                </c:pt>
                <c:pt idx="30">
                  <c:v>-0.45157449377736836</c:v>
                </c:pt>
                <c:pt idx="31">
                  <c:v>-0.68920296919822355</c:v>
                </c:pt>
                <c:pt idx="32">
                  <c:v>-0.53695572738503494</c:v>
                </c:pt>
                <c:pt idx="33">
                  <c:v>-0.4633871663915014</c:v>
                </c:pt>
                <c:pt idx="34">
                  <c:v>-0.64001976919373582</c:v>
                </c:pt>
                <c:pt idx="35">
                  <c:v>8.0860834454997657E-2</c:v>
                </c:pt>
                <c:pt idx="36">
                  <c:v>-0.47679463602307398</c:v>
                </c:pt>
                <c:pt idx="37">
                  <c:v>-0.94641494392970682</c:v>
                </c:pt>
                <c:pt idx="38">
                  <c:v>-0.70917494163714256</c:v>
                </c:pt>
                <c:pt idx="39">
                  <c:v>-0.21769218703732343</c:v>
                </c:pt>
                <c:pt idx="40">
                  <c:v>-0.58294122303899543</c:v>
                </c:pt>
                <c:pt idx="41">
                  <c:v>-0.57228090298277934</c:v>
                </c:pt>
                <c:pt idx="42">
                  <c:v>-0.28400749864171021</c:v>
                </c:pt>
                <c:pt idx="43">
                  <c:v>-6.0488068640244259E-2</c:v>
                </c:pt>
                <c:pt idx="44">
                  <c:v>-0.47000682925085546</c:v>
                </c:pt>
                <c:pt idx="45">
                  <c:v>-0.66800393781127954</c:v>
                </c:pt>
                <c:pt idx="46">
                  <c:v>-1.5370523594254219E-2</c:v>
                </c:pt>
                <c:pt idx="47">
                  <c:v>6.6190281230472672E-2</c:v>
                </c:pt>
                <c:pt idx="48">
                  <c:v>-0.27260168852797051</c:v>
                </c:pt>
                <c:pt idx="49">
                  <c:v>-0.45295931239648407</c:v>
                </c:pt>
                <c:pt idx="50">
                  <c:v>-0.77116277754468421</c:v>
                </c:pt>
                <c:pt idx="51">
                  <c:v>-0.47355392409075669</c:v>
                </c:pt>
                <c:pt idx="52">
                  <c:v>-0.46749637503612063</c:v>
                </c:pt>
                <c:pt idx="53">
                  <c:v>-5.0184435714417663E-2</c:v>
                </c:pt>
                <c:pt idx="54">
                  <c:v>-0.27462896941949771</c:v>
                </c:pt>
                <c:pt idx="55">
                  <c:v>-6.0020741688747582E-2</c:v>
                </c:pt>
                <c:pt idx="56">
                  <c:v>-0.24103261064995016</c:v>
                </c:pt>
                <c:pt idx="57">
                  <c:v>-0.31750917734993089</c:v>
                </c:pt>
                <c:pt idx="58">
                  <c:v>-0.52501921117897232</c:v>
                </c:pt>
                <c:pt idx="59">
                  <c:v>-0.2575098661479715</c:v>
                </c:pt>
                <c:pt idx="60">
                  <c:v>0.34486548597923472</c:v>
                </c:pt>
                <c:pt idx="61">
                  <c:v>-0.1811706193765967</c:v>
                </c:pt>
                <c:pt idx="62">
                  <c:v>-0.29694753121671991</c:v>
                </c:pt>
                <c:pt idx="63">
                  <c:v>-0.14202795785005717</c:v>
                </c:pt>
                <c:pt idx="64">
                  <c:v>-0.23853514653256536</c:v>
                </c:pt>
                <c:pt idx="65">
                  <c:v>-0.59288021503187305</c:v>
                </c:pt>
                <c:pt idx="66">
                  <c:v>-0.65712581062078712</c:v>
                </c:pt>
                <c:pt idx="67">
                  <c:v>-0.53635883956426256</c:v>
                </c:pt>
                <c:pt idx="68">
                  <c:v>-0.75304581596829667</c:v>
                </c:pt>
                <c:pt idx="69">
                  <c:v>-0.41050981125289848</c:v>
                </c:pt>
                <c:pt idx="70">
                  <c:v>-3.8973703662637547E-2</c:v>
                </c:pt>
                <c:pt idx="71">
                  <c:v>0.18306294856181288</c:v>
                </c:pt>
                <c:pt idx="72">
                  <c:v>-0.10903615142697941</c:v>
                </c:pt>
                <c:pt idx="73">
                  <c:v>8.8898761425217229E-2</c:v>
                </c:pt>
                <c:pt idx="74">
                  <c:v>4.9380466097437722E-2</c:v>
                </c:pt>
                <c:pt idx="75">
                  <c:v>0.45594273659737955</c:v>
                </c:pt>
                <c:pt idx="76">
                  <c:v>2.4097313483793976E-2</c:v>
                </c:pt>
                <c:pt idx="77">
                  <c:v>-0.23661133616177984</c:v>
                </c:pt>
                <c:pt idx="78">
                  <c:v>-0.30581617251404081</c:v>
                </c:pt>
                <c:pt idx="79">
                  <c:v>-0.35764112482691485</c:v>
                </c:pt>
                <c:pt idx="80">
                  <c:v>4.1228311962142078E-2</c:v>
                </c:pt>
                <c:pt idx="81">
                  <c:v>0.93456670422939858</c:v>
                </c:pt>
                <c:pt idx="82">
                  <c:v>0.71474231799653498</c:v>
                </c:pt>
                <c:pt idx="83">
                  <c:v>0.2158208053343583</c:v>
                </c:pt>
                <c:pt idx="84">
                  <c:v>0.52294587586398622</c:v>
                </c:pt>
                <c:pt idx="85">
                  <c:v>-9.6645270641603123E-2</c:v>
                </c:pt>
                <c:pt idx="86">
                  <c:v>-0.32724513753413031</c:v>
                </c:pt>
                <c:pt idx="87">
                  <c:v>-0.27739252521160473</c:v>
                </c:pt>
                <c:pt idx="88">
                  <c:v>5.3158458222358511E-3</c:v>
                </c:pt>
                <c:pt idx="89">
                  <c:v>-0.11709689610397299</c:v>
                </c:pt>
                <c:pt idx="90">
                  <c:v>-0.65630043688985196</c:v>
                </c:pt>
                <c:pt idx="91">
                  <c:v>-5.0448388263381425E-2</c:v>
                </c:pt>
                <c:pt idx="92">
                  <c:v>-0.3138426286109714</c:v>
                </c:pt>
                <c:pt idx="93">
                  <c:v>0.82411403757230495</c:v>
                </c:pt>
                <c:pt idx="94">
                  <c:v>3.224451287822247E-2</c:v>
                </c:pt>
                <c:pt idx="95">
                  <c:v>0.31854827210394027</c:v>
                </c:pt>
                <c:pt idx="96">
                  <c:v>-9.4500807434526948E-2</c:v>
                </c:pt>
                <c:pt idx="97">
                  <c:v>-0.18907068098107432</c:v>
                </c:pt>
                <c:pt idx="98">
                  <c:v>0.10088551777385854</c:v>
                </c:pt>
              </c:numCache>
            </c:numRef>
          </c:yVal>
          <c:smooth val="0"/>
          <c:extLst>
            <c:ext xmlns:c16="http://schemas.microsoft.com/office/drawing/2014/chart" uri="{C3380CC4-5D6E-409C-BE32-E72D297353CC}">
              <c16:uniqueId val="{00000005-F67E-458F-A605-8B374E6BD0F5}"/>
            </c:ext>
          </c:extLst>
        </c:ser>
        <c:ser>
          <c:idx val="6"/>
          <c:order val="6"/>
          <c:tx>
            <c:strRef>
              <c:f>lns!$H$2</c:f>
              <c:strCache>
                <c:ptCount val="1"/>
              </c:strCache>
            </c:strRef>
          </c:tx>
          <c:spPr>
            <a:ln w="19050" cap="rnd">
              <a:solidFill>
                <a:schemeClr val="accent1">
                  <a:lumMod val="60000"/>
                </a:schemeClr>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lns!$H$4:$H$103</c:f>
              <c:numCache>
                <c:formatCode>General</c:formatCode>
                <c:ptCount val="100"/>
                <c:pt idx="0">
                  <c:v>-0.47194791815101839</c:v>
                </c:pt>
                <c:pt idx="1">
                  <c:v>-0.42158381936327255</c:v>
                </c:pt>
                <c:pt idx="2">
                  <c:v>0.48855547464026267</c:v>
                </c:pt>
                <c:pt idx="3">
                  <c:v>0.12835803385052519</c:v>
                </c:pt>
                <c:pt idx="4">
                  <c:v>0.94309623269448584</c:v>
                </c:pt>
                <c:pt idx="5">
                  <c:v>1.3089596501778953</c:v>
                </c:pt>
                <c:pt idx="6">
                  <c:v>1.2883093571608919</c:v>
                </c:pt>
                <c:pt idx="7">
                  <c:v>0.70231007275177981</c:v>
                </c:pt>
                <c:pt idx="8">
                  <c:v>0.39068305660325647</c:v>
                </c:pt>
                <c:pt idx="9">
                  <c:v>0.1486182613262815</c:v>
                </c:pt>
                <c:pt idx="10">
                  <c:v>0.53401075922002794</c:v>
                </c:pt>
                <c:pt idx="11">
                  <c:v>0.65607336118011428</c:v>
                </c:pt>
                <c:pt idx="12">
                  <c:v>0.68433849777855016</c:v>
                </c:pt>
                <c:pt idx="13">
                  <c:v>0.33117968431339534</c:v>
                </c:pt>
                <c:pt idx="14">
                  <c:v>-4.4522583260377828E-2</c:v>
                </c:pt>
                <c:pt idx="15">
                  <c:v>-0.10563388635352354</c:v>
                </c:pt>
                <c:pt idx="16">
                  <c:v>6.5066506728644669E-2</c:v>
                </c:pt>
                <c:pt idx="17">
                  <c:v>-0.20993862142872849</c:v>
                </c:pt>
                <c:pt idx="18">
                  <c:v>-0.16638876058577778</c:v>
                </c:pt>
                <c:pt idx="19">
                  <c:v>0.19600254384981861</c:v>
                </c:pt>
                <c:pt idx="20">
                  <c:v>-0.27198721691481781</c:v>
                </c:pt>
                <c:pt idx="21">
                  <c:v>-5.1539640517740661E-2</c:v>
                </c:pt>
                <c:pt idx="22">
                  <c:v>-0.29230340102696351</c:v>
                </c:pt>
                <c:pt idx="23">
                  <c:v>-7.223311541190372E-2</c:v>
                </c:pt>
                <c:pt idx="24">
                  <c:v>-0.26597015789397999</c:v>
                </c:pt>
                <c:pt idx="25">
                  <c:v>-0.63142386840719356</c:v>
                </c:pt>
                <c:pt idx="26">
                  <c:v>-0.47248189761752379</c:v>
                </c:pt>
                <c:pt idx="27">
                  <c:v>-0.59744435058006373</c:v>
                </c:pt>
                <c:pt idx="28">
                  <c:v>-7.3157962017823847E-2</c:v>
                </c:pt>
                <c:pt idx="29">
                  <c:v>-0.25635008594950892</c:v>
                </c:pt>
                <c:pt idx="30">
                  <c:v>-9.7610623797766818E-2</c:v>
                </c:pt>
                <c:pt idx="31">
                  <c:v>-0.53974649619469983</c:v>
                </c:pt>
                <c:pt idx="32">
                  <c:v>-0.41987341096905667</c:v>
                </c:pt>
                <c:pt idx="33">
                  <c:v>-0.46585066475295472</c:v>
                </c:pt>
                <c:pt idx="34">
                  <c:v>-0.7515435368050879</c:v>
                </c:pt>
                <c:pt idx="35">
                  <c:v>-0.13886674318554601</c:v>
                </c:pt>
                <c:pt idx="36">
                  <c:v>-0.598486302415418</c:v>
                </c:pt>
                <c:pt idx="37">
                  <c:v>-0.99859683242323194</c:v>
                </c:pt>
                <c:pt idx="38">
                  <c:v>-0.65716632546803733</c:v>
                </c:pt>
                <c:pt idx="39">
                  <c:v>-0.21037294375700871</c:v>
                </c:pt>
                <c:pt idx="40">
                  <c:v>-0.56395217649256868</c:v>
                </c:pt>
                <c:pt idx="41">
                  <c:v>-0.50872782568384456</c:v>
                </c:pt>
                <c:pt idx="42">
                  <c:v>-0.37861093094365111</c:v>
                </c:pt>
                <c:pt idx="43">
                  <c:v>-0.10005019595229432</c:v>
                </c:pt>
                <c:pt idx="44">
                  <c:v>-0.46289932468407358</c:v>
                </c:pt>
                <c:pt idx="45">
                  <c:v>-0.65509253161073888</c:v>
                </c:pt>
                <c:pt idx="46">
                  <c:v>-0.10343348468634975</c:v>
                </c:pt>
                <c:pt idx="47">
                  <c:v>3.3763542152805269E-2</c:v>
                </c:pt>
                <c:pt idx="48">
                  <c:v>-0.16053736468301216</c:v>
                </c:pt>
                <c:pt idx="49">
                  <c:v>-0.38443382415509347</c:v>
                </c:pt>
                <c:pt idx="50">
                  <c:v>-0.74929222567852027</c:v>
                </c:pt>
                <c:pt idx="51">
                  <c:v>-0.55329306851949722</c:v>
                </c:pt>
                <c:pt idx="52">
                  <c:v>-0.46326955411137233</c:v>
                </c:pt>
                <c:pt idx="53">
                  <c:v>-6.8169639007242711E-2</c:v>
                </c:pt>
                <c:pt idx="54">
                  <c:v>-0.28061642635660589</c:v>
                </c:pt>
                <c:pt idx="55">
                  <c:v>-4.3856027125532653E-3</c:v>
                </c:pt>
                <c:pt idx="56">
                  <c:v>-0.2725741079911595</c:v>
                </c:pt>
                <c:pt idx="57">
                  <c:v>-0.3734040991926173</c:v>
                </c:pt>
                <c:pt idx="58">
                  <c:v>-0.53111677036829796</c:v>
                </c:pt>
                <c:pt idx="59">
                  <c:v>-0.125878465402783</c:v>
                </c:pt>
                <c:pt idx="60">
                  <c:v>0.27047741750106291</c:v>
                </c:pt>
                <c:pt idx="61">
                  <c:v>-0.10188544958908524</c:v>
                </c:pt>
                <c:pt idx="62">
                  <c:v>-0.33713285478134691</c:v>
                </c:pt>
                <c:pt idx="63">
                  <c:v>-8.9269561132932551E-2</c:v>
                </c:pt>
                <c:pt idx="64">
                  <c:v>-0.2689911740082917</c:v>
                </c:pt>
                <c:pt idx="65">
                  <c:v>-0.70495056726108363</c:v>
                </c:pt>
                <c:pt idx="66">
                  <c:v>-0.64548145786174904</c:v>
                </c:pt>
                <c:pt idx="67">
                  <c:v>-0.51732167750969293</c:v>
                </c:pt>
                <c:pt idx="68">
                  <c:v>-0.73033412322715585</c:v>
                </c:pt>
                <c:pt idx="69">
                  <c:v>-0.42588110347608538</c:v>
                </c:pt>
                <c:pt idx="70">
                  <c:v>-0.11504167163069205</c:v>
                </c:pt>
                <c:pt idx="71">
                  <c:v>0.1881130867940761</c:v>
                </c:pt>
                <c:pt idx="72">
                  <c:v>-4.723627208531251E-2</c:v>
                </c:pt>
                <c:pt idx="73">
                  <c:v>0.11689375147149943</c:v>
                </c:pt>
                <c:pt idx="74">
                  <c:v>0.18528383158906764</c:v>
                </c:pt>
                <c:pt idx="75">
                  <c:v>0.42523505513178766</c:v>
                </c:pt>
                <c:pt idx="76">
                  <c:v>-1.4866967728000308E-2</c:v>
                </c:pt>
                <c:pt idx="77">
                  <c:v>-0.28776207565195155</c:v>
                </c:pt>
                <c:pt idx="78">
                  <c:v>-0.36798436937124596</c:v>
                </c:pt>
                <c:pt idx="79">
                  <c:v>-0.37544136542449097</c:v>
                </c:pt>
                <c:pt idx="80">
                  <c:v>0.16557375875198937</c:v>
                </c:pt>
                <c:pt idx="81">
                  <c:v>1.1024515758308282</c:v>
                </c:pt>
                <c:pt idx="82">
                  <c:v>0.77385582029765065</c:v>
                </c:pt>
                <c:pt idx="83">
                  <c:v>0.35142418278844334</c:v>
                </c:pt>
                <c:pt idx="84">
                  <c:v>0.34461045983767319</c:v>
                </c:pt>
                <c:pt idx="85">
                  <c:v>-0.31630104980045909</c:v>
                </c:pt>
                <c:pt idx="86">
                  <c:v>-0.30489876615813588</c:v>
                </c:pt>
                <c:pt idx="87">
                  <c:v>-0.213541053225072</c:v>
                </c:pt>
                <c:pt idx="88">
                  <c:v>1.7574657016510519E-2</c:v>
                </c:pt>
                <c:pt idx="89">
                  <c:v>-5.9659774930927986E-2</c:v>
                </c:pt>
                <c:pt idx="90">
                  <c:v>-0.69064032534876452</c:v>
                </c:pt>
                <c:pt idx="91">
                  <c:v>-6.1704141788504266E-2</c:v>
                </c:pt>
                <c:pt idx="92">
                  <c:v>-0.19576673953384177</c:v>
                </c:pt>
                <c:pt idx="93">
                  <c:v>0.92601925595180101</c:v>
                </c:pt>
                <c:pt idx="94">
                  <c:v>4.54990400712183E-2</c:v>
                </c:pt>
                <c:pt idx="95">
                  <c:v>0.30315918169808281</c:v>
                </c:pt>
                <c:pt idx="96">
                  <c:v>-0.12041775347913958</c:v>
                </c:pt>
                <c:pt idx="97">
                  <c:v>-0.15994811921706237</c:v>
                </c:pt>
                <c:pt idx="98">
                  <c:v>6.1875603718067523E-2</c:v>
                </c:pt>
              </c:numCache>
            </c:numRef>
          </c:yVal>
          <c:smooth val="0"/>
          <c:extLst>
            <c:ext xmlns:c16="http://schemas.microsoft.com/office/drawing/2014/chart" uri="{C3380CC4-5D6E-409C-BE32-E72D297353CC}">
              <c16:uniqueId val="{00000006-F67E-458F-A605-8B374E6BD0F5}"/>
            </c:ext>
          </c:extLst>
        </c:ser>
        <c:ser>
          <c:idx val="7"/>
          <c:order val="7"/>
          <c:tx>
            <c:strRef>
              <c:f>lns!$I$2</c:f>
              <c:strCache>
                <c:ptCount val="1"/>
              </c:strCache>
            </c:strRef>
          </c:tx>
          <c:spPr>
            <a:ln w="19050" cap="rnd">
              <a:solidFill>
                <a:schemeClr val="accent2">
                  <a:lumMod val="60000"/>
                </a:schemeClr>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lns!$I$4:$I$103</c:f>
              <c:numCache>
                <c:formatCode>General</c:formatCode>
                <c:ptCount val="100"/>
                <c:pt idx="0">
                  <c:v>-0.4130699517682227</c:v>
                </c:pt>
                <c:pt idx="1">
                  <c:v>-0.16608528137738332</c:v>
                </c:pt>
                <c:pt idx="2">
                  <c:v>0.43088591078831856</c:v>
                </c:pt>
                <c:pt idx="3">
                  <c:v>0.30358740928543632</c:v>
                </c:pt>
                <c:pt idx="4">
                  <c:v>0.95493435546635952</c:v>
                </c:pt>
                <c:pt idx="5">
                  <c:v>1.2946970301539706</c:v>
                </c:pt>
                <c:pt idx="6">
                  <c:v>1.3451754475235291</c:v>
                </c:pt>
                <c:pt idx="7">
                  <c:v>0.81039229378421829</c:v>
                </c:pt>
                <c:pt idx="8">
                  <c:v>0.59906724369635</c:v>
                </c:pt>
                <c:pt idx="9">
                  <c:v>0.42396623522553145</c:v>
                </c:pt>
                <c:pt idx="10">
                  <c:v>0.78033354223886131</c:v>
                </c:pt>
                <c:pt idx="11">
                  <c:v>0.76525851790720145</c:v>
                </c:pt>
                <c:pt idx="12">
                  <c:v>0.68032026630505182</c:v>
                </c:pt>
                <c:pt idx="13">
                  <c:v>0.39013486477653608</c:v>
                </c:pt>
                <c:pt idx="14">
                  <c:v>2.2759037120515007E-2</c:v>
                </c:pt>
                <c:pt idx="15">
                  <c:v>-0.24792304267843263</c:v>
                </c:pt>
                <c:pt idx="16">
                  <c:v>-2.8370205397547942E-3</c:v>
                </c:pt>
                <c:pt idx="17">
                  <c:v>-0.34759911133074434</c:v>
                </c:pt>
                <c:pt idx="18">
                  <c:v>-0.16252716482580279</c:v>
                </c:pt>
                <c:pt idx="19">
                  <c:v>0.22673708682433988</c:v>
                </c:pt>
                <c:pt idx="20">
                  <c:v>-0.20493287677718311</c:v>
                </c:pt>
                <c:pt idx="21">
                  <c:v>1.6611265805196906E-2</c:v>
                </c:pt>
                <c:pt idx="22">
                  <c:v>-0.24730945888802461</c:v>
                </c:pt>
                <c:pt idx="23">
                  <c:v>1.3814143833371003E-2</c:v>
                </c:pt>
                <c:pt idx="24">
                  <c:v>-0.27369238603852875</c:v>
                </c:pt>
                <c:pt idx="25">
                  <c:v>-0.62275395669089662</c:v>
                </c:pt>
                <c:pt idx="26">
                  <c:v>-0.45271867844281577</c:v>
                </c:pt>
                <c:pt idx="27">
                  <c:v>-0.28758607705948608</c:v>
                </c:pt>
                <c:pt idx="28">
                  <c:v>-2.800654761236147E-2</c:v>
                </c:pt>
                <c:pt idx="29">
                  <c:v>-0.41958431666904783</c:v>
                </c:pt>
                <c:pt idx="30">
                  <c:v>-0.21997482702797591</c:v>
                </c:pt>
                <c:pt idx="31">
                  <c:v>-0.43834993544394107</c:v>
                </c:pt>
                <c:pt idx="32">
                  <c:v>-0.39671301961319561</c:v>
                </c:pt>
                <c:pt idx="33">
                  <c:v>-0.38878499785696596</c:v>
                </c:pt>
                <c:pt idx="34">
                  <c:v>-0.61222363017305137</c:v>
                </c:pt>
                <c:pt idx="35">
                  <c:v>-2.3208239816940975E-2</c:v>
                </c:pt>
                <c:pt idx="36">
                  <c:v>-0.28556564699431136</c:v>
                </c:pt>
                <c:pt idx="37">
                  <c:v>-0.52051407224667412</c:v>
                </c:pt>
                <c:pt idx="38">
                  <c:v>-0.6590975065215896</c:v>
                </c:pt>
                <c:pt idx="39">
                  <c:v>-0.22036865490286861</c:v>
                </c:pt>
                <c:pt idx="40">
                  <c:v>-0.5018956152448607</c:v>
                </c:pt>
                <c:pt idx="41">
                  <c:v>-0.42835663113454936</c:v>
                </c:pt>
                <c:pt idx="42">
                  <c:v>-0.37292918848360457</c:v>
                </c:pt>
                <c:pt idx="43">
                  <c:v>-0.11725542486743779</c:v>
                </c:pt>
                <c:pt idx="44">
                  <c:v>-0.46128811987684792</c:v>
                </c:pt>
                <c:pt idx="45">
                  <c:v>-0.6893922391844538</c:v>
                </c:pt>
                <c:pt idx="46">
                  <c:v>-0.14309353597506666</c:v>
                </c:pt>
                <c:pt idx="47">
                  <c:v>0.14992748898295069</c:v>
                </c:pt>
                <c:pt idx="48">
                  <c:v>-4.0379384153343391E-2</c:v>
                </c:pt>
                <c:pt idx="49">
                  <c:v>-0.30562475052640109</c:v>
                </c:pt>
                <c:pt idx="50">
                  <c:v>-0.69897211258457481</c:v>
                </c:pt>
                <c:pt idx="51">
                  <c:v>-0.45649685775415438</c:v>
                </c:pt>
                <c:pt idx="52">
                  <c:v>-0.44976658651768298</c:v>
                </c:pt>
                <c:pt idx="53">
                  <c:v>-0.11948423187044861</c:v>
                </c:pt>
                <c:pt idx="54">
                  <c:v>-0.40491126150951084</c:v>
                </c:pt>
                <c:pt idx="55">
                  <c:v>-8.2619942558808335E-2</c:v>
                </c:pt>
                <c:pt idx="56">
                  <c:v>-0.34761043671177277</c:v>
                </c:pt>
                <c:pt idx="57">
                  <c:v>-0.40685457296753091</c:v>
                </c:pt>
                <c:pt idx="58">
                  <c:v>-0.62475235453320266</c:v>
                </c:pt>
                <c:pt idx="59">
                  <c:v>-0.28992725766154276</c:v>
                </c:pt>
                <c:pt idx="60">
                  <c:v>0.18554136763515283</c:v>
                </c:pt>
                <c:pt idx="61">
                  <c:v>-0.24407994608190178</c:v>
                </c:pt>
                <c:pt idx="62">
                  <c:v>-0.39946017386890564</c:v>
                </c:pt>
                <c:pt idx="63">
                  <c:v>-0.22645151660339713</c:v>
                </c:pt>
                <c:pt idx="64">
                  <c:v>-0.24362053093481648</c:v>
                </c:pt>
                <c:pt idx="65">
                  <c:v>-0.57785257180454497</c:v>
                </c:pt>
                <c:pt idx="66">
                  <c:v>-0.68107632732716916</c:v>
                </c:pt>
                <c:pt idx="67">
                  <c:v>-0.49405045040428858</c:v>
                </c:pt>
                <c:pt idx="68">
                  <c:v>-0.58756448958488272</c:v>
                </c:pt>
                <c:pt idx="69">
                  <c:v>-0.36277350240060185</c:v>
                </c:pt>
                <c:pt idx="70">
                  <c:v>-0.10678820098235399</c:v>
                </c:pt>
                <c:pt idx="71">
                  <c:v>2.5463047436529967E-2</c:v>
                </c:pt>
                <c:pt idx="72">
                  <c:v>-0.23321156409162391</c:v>
                </c:pt>
                <c:pt idx="73">
                  <c:v>0.16011855089275923</c:v>
                </c:pt>
                <c:pt idx="74">
                  <c:v>0.17885722960273681</c:v>
                </c:pt>
                <c:pt idx="75">
                  <c:v>0.52014407185497069</c:v>
                </c:pt>
                <c:pt idx="76">
                  <c:v>0.13564041706816146</c:v>
                </c:pt>
                <c:pt idx="77">
                  <c:v>-0.21386671453400063</c:v>
                </c:pt>
                <c:pt idx="78">
                  <c:v>-0.37504987659038458</c:v>
                </c:pt>
                <c:pt idx="79">
                  <c:v>-0.44768651885470495</c:v>
                </c:pt>
                <c:pt idx="80">
                  <c:v>-5.8390139107977477E-3</c:v>
                </c:pt>
                <c:pt idx="81">
                  <c:v>1.2134190477523432</c:v>
                </c:pt>
                <c:pt idx="82">
                  <c:v>1.0425426936144964</c:v>
                </c:pt>
                <c:pt idx="83">
                  <c:v>0.31608729695694776</c:v>
                </c:pt>
                <c:pt idx="84">
                  <c:v>0.47630871038032968</c:v>
                </c:pt>
                <c:pt idx="85">
                  <c:v>-0.16810154214617543</c:v>
                </c:pt>
                <c:pt idx="86">
                  <c:v>-0.2422906934877096</c:v>
                </c:pt>
                <c:pt idx="87">
                  <c:v>-0.29186547736733343</c:v>
                </c:pt>
                <c:pt idx="88">
                  <c:v>1.5288307424907528E-3</c:v>
                </c:pt>
                <c:pt idx="89">
                  <c:v>-9.9432565170891954E-2</c:v>
                </c:pt>
                <c:pt idx="90">
                  <c:v>-0.49987249555217422</c:v>
                </c:pt>
                <c:pt idx="91">
                  <c:v>0.10426091131450356</c:v>
                </c:pt>
                <c:pt idx="92">
                  <c:v>-0.12036248457617367</c:v>
                </c:pt>
                <c:pt idx="93">
                  <c:v>0.96339948326104885</c:v>
                </c:pt>
                <c:pt idx="94">
                  <c:v>0.12936020530570697</c:v>
                </c:pt>
                <c:pt idx="95">
                  <c:v>0.33955319986167043</c:v>
                </c:pt>
                <c:pt idx="96">
                  <c:v>0.13604198843977344</c:v>
                </c:pt>
                <c:pt idx="97">
                  <c:v>6.637920180183437E-3</c:v>
                </c:pt>
                <c:pt idx="98">
                  <c:v>0.1809956782052822</c:v>
                </c:pt>
              </c:numCache>
            </c:numRef>
          </c:yVal>
          <c:smooth val="0"/>
          <c:extLst>
            <c:ext xmlns:c16="http://schemas.microsoft.com/office/drawing/2014/chart" uri="{C3380CC4-5D6E-409C-BE32-E72D297353CC}">
              <c16:uniqueId val="{00000007-F67E-458F-A605-8B374E6BD0F5}"/>
            </c:ext>
          </c:extLst>
        </c:ser>
        <c:ser>
          <c:idx val="8"/>
          <c:order val="8"/>
          <c:tx>
            <c:strRef>
              <c:f>lns!$J$2</c:f>
              <c:strCache>
                <c:ptCount val="1"/>
              </c:strCache>
            </c:strRef>
          </c:tx>
          <c:spPr>
            <a:ln w="19050" cap="rnd">
              <a:solidFill>
                <a:schemeClr val="accent3">
                  <a:lumMod val="60000"/>
                </a:schemeClr>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lns!$J$4:$J$103</c:f>
              <c:numCache>
                <c:formatCode>General</c:formatCode>
                <c:ptCount val="100"/>
                <c:pt idx="0">
                  <c:v>-0.13475270955708912</c:v>
                </c:pt>
                <c:pt idx="1">
                  <c:v>0.18197149552965927</c:v>
                </c:pt>
                <c:pt idx="2">
                  <c:v>0.55185431692261078</c:v>
                </c:pt>
                <c:pt idx="3">
                  <c:v>0.49801390303865484</c:v>
                </c:pt>
                <c:pt idx="4">
                  <c:v>1.0842124400431701</c:v>
                </c:pt>
                <c:pt idx="5">
                  <c:v>1.2358318715496441</c:v>
                </c:pt>
                <c:pt idx="6">
                  <c:v>1.3715841952036023</c:v>
                </c:pt>
                <c:pt idx="7">
                  <c:v>0.91346273686310819</c:v>
                </c:pt>
                <c:pt idx="8">
                  <c:v>0.82612529515440269</c:v>
                </c:pt>
                <c:pt idx="9">
                  <c:v>0.46214785328015201</c:v>
                </c:pt>
                <c:pt idx="10">
                  <c:v>0.77883852001659837</c:v>
                </c:pt>
                <c:pt idx="11">
                  <c:v>0.93777038355108699</c:v>
                </c:pt>
                <c:pt idx="12">
                  <c:v>0.87478517044193016</c:v>
                </c:pt>
                <c:pt idx="13">
                  <c:v>0.54284740978872825</c:v>
                </c:pt>
                <c:pt idx="14">
                  <c:v>0.1284723673085772</c:v>
                </c:pt>
                <c:pt idx="15">
                  <c:v>-0.10432549592004431</c:v>
                </c:pt>
                <c:pt idx="16">
                  <c:v>0.28099727892305931</c:v>
                </c:pt>
                <c:pt idx="17">
                  <c:v>-0.13974379253986791</c:v>
                </c:pt>
                <c:pt idx="18">
                  <c:v>-1.4213535409569522E-2</c:v>
                </c:pt>
                <c:pt idx="19">
                  <c:v>0.32608995534803586</c:v>
                </c:pt>
                <c:pt idx="20">
                  <c:v>-0.12591249031128762</c:v>
                </c:pt>
                <c:pt idx="21">
                  <c:v>8.5149645041681168E-2</c:v>
                </c:pt>
                <c:pt idx="22">
                  <c:v>-0.25153273782298596</c:v>
                </c:pt>
                <c:pt idx="23">
                  <c:v>8.3044352074347461E-2</c:v>
                </c:pt>
                <c:pt idx="24">
                  <c:v>-0.13189273595601411</c:v>
                </c:pt>
                <c:pt idx="25">
                  <c:v>-0.59222188597017955</c:v>
                </c:pt>
                <c:pt idx="26">
                  <c:v>-0.3288569069905326</c:v>
                </c:pt>
                <c:pt idx="27">
                  <c:v>-0.43665396316423066</c:v>
                </c:pt>
                <c:pt idx="28">
                  <c:v>-5.9406105370724393E-3</c:v>
                </c:pt>
                <c:pt idx="29">
                  <c:v>-0.32070263300378538</c:v>
                </c:pt>
                <c:pt idx="30">
                  <c:v>-0.19752332031437037</c:v>
                </c:pt>
                <c:pt idx="31">
                  <c:v>-0.34287348093933778</c:v>
                </c:pt>
                <c:pt idx="32">
                  <c:v>-0.36976452565921197</c:v>
                </c:pt>
                <c:pt idx="33">
                  <c:v>-0.29006223612867299</c:v>
                </c:pt>
                <c:pt idx="34">
                  <c:v>-0.61386476183281757</c:v>
                </c:pt>
                <c:pt idx="35">
                  <c:v>-8.0709096327809621E-2</c:v>
                </c:pt>
                <c:pt idx="36">
                  <c:v>-0.44297384752509816</c:v>
                </c:pt>
                <c:pt idx="37">
                  <c:v>-0.7243695657886563</c:v>
                </c:pt>
                <c:pt idx="38">
                  <c:v>-0.50394766458245543</c:v>
                </c:pt>
                <c:pt idx="39">
                  <c:v>-0.16663798942461622</c:v>
                </c:pt>
                <c:pt idx="40">
                  <c:v>-0.38181547825963724</c:v>
                </c:pt>
                <c:pt idx="41">
                  <c:v>-0.30818278335163091</c:v>
                </c:pt>
                <c:pt idx="42">
                  <c:v>-0.325630422069628</c:v>
                </c:pt>
                <c:pt idx="43">
                  <c:v>-6.3891263987015112E-2</c:v>
                </c:pt>
                <c:pt idx="44">
                  <c:v>-0.11204055530279958</c:v>
                </c:pt>
                <c:pt idx="45">
                  <c:v>-0.50073833859512362</c:v>
                </c:pt>
                <c:pt idx="46">
                  <c:v>-6.1119306652805065E-2</c:v>
                </c:pt>
                <c:pt idx="47">
                  <c:v>0.13724573590286382</c:v>
                </c:pt>
                <c:pt idx="48">
                  <c:v>-2.0948904020390808E-2</c:v>
                </c:pt>
                <c:pt idx="49">
                  <c:v>-0.24705337661251217</c:v>
                </c:pt>
                <c:pt idx="50">
                  <c:v>-0.70606627383060427</c:v>
                </c:pt>
                <c:pt idx="51">
                  <c:v>-0.30161873819065388</c:v>
                </c:pt>
                <c:pt idx="52">
                  <c:v>-0.31379062033890714</c:v>
                </c:pt>
                <c:pt idx="53">
                  <c:v>-4.0775120618853571E-2</c:v>
                </c:pt>
                <c:pt idx="54">
                  <c:v>-0.36658243285248654</c:v>
                </c:pt>
                <c:pt idx="55">
                  <c:v>-0.14332433015038454</c:v>
                </c:pt>
                <c:pt idx="56">
                  <c:v>-0.37636320634625386</c:v>
                </c:pt>
                <c:pt idx="57">
                  <c:v>-0.30712588412998465</c:v>
                </c:pt>
                <c:pt idx="58">
                  <c:v>-0.60795529116775093</c:v>
                </c:pt>
                <c:pt idx="59">
                  <c:v>-0.20639460135624133</c:v>
                </c:pt>
                <c:pt idx="60">
                  <c:v>0.27629751358514287</c:v>
                </c:pt>
                <c:pt idx="61">
                  <c:v>-0.15639653320238178</c:v>
                </c:pt>
                <c:pt idx="62">
                  <c:v>-0.36116357421239731</c:v>
                </c:pt>
                <c:pt idx="63">
                  <c:v>-0.22500152628121825</c:v>
                </c:pt>
                <c:pt idx="64">
                  <c:v>-0.16473196469005</c:v>
                </c:pt>
                <c:pt idx="65">
                  <c:v>-0.4404991974142739</c:v>
                </c:pt>
                <c:pt idx="66">
                  <c:v>-0.52963304644260911</c:v>
                </c:pt>
                <c:pt idx="67">
                  <c:v>-0.40138245349575319</c:v>
                </c:pt>
                <c:pt idx="68">
                  <c:v>-0.65550270902303243</c:v>
                </c:pt>
                <c:pt idx="69">
                  <c:v>-0.42069550400320799</c:v>
                </c:pt>
                <c:pt idx="70">
                  <c:v>-0.23967316576546921</c:v>
                </c:pt>
                <c:pt idx="71">
                  <c:v>-7.5746698748386757E-2</c:v>
                </c:pt>
                <c:pt idx="72">
                  <c:v>-0.32596978098926338</c:v>
                </c:pt>
                <c:pt idx="73">
                  <c:v>0.10515249402282628</c:v>
                </c:pt>
                <c:pt idx="74">
                  <c:v>0.19697204570043894</c:v>
                </c:pt>
                <c:pt idx="75">
                  <c:v>0.60787247649871101</c:v>
                </c:pt>
                <c:pt idx="76">
                  <c:v>0.23350567855572427</c:v>
                </c:pt>
                <c:pt idx="77">
                  <c:v>-0.18677063930006718</c:v>
                </c:pt>
                <c:pt idx="78">
                  <c:v>-0.30632952721673817</c:v>
                </c:pt>
                <c:pt idx="79">
                  <c:v>-0.33884204239409699</c:v>
                </c:pt>
                <c:pt idx="80">
                  <c:v>0.13617290076797442</c:v>
                </c:pt>
                <c:pt idx="81">
                  <c:v>1.0691216841010509</c:v>
                </c:pt>
                <c:pt idx="82">
                  <c:v>1.0709806948335505</c:v>
                </c:pt>
                <c:pt idx="83">
                  <c:v>0.4287258016827164</c:v>
                </c:pt>
                <c:pt idx="84">
                  <c:v>0.64683095368252252</c:v>
                </c:pt>
                <c:pt idx="85">
                  <c:v>5.7832447557273608E-3</c:v>
                </c:pt>
                <c:pt idx="86">
                  <c:v>-0.17403320031481398</c:v>
                </c:pt>
                <c:pt idx="87">
                  <c:v>-0.26267991427965182</c:v>
                </c:pt>
                <c:pt idx="88">
                  <c:v>0.13313131260318295</c:v>
                </c:pt>
                <c:pt idx="89">
                  <c:v>0.26651716767684558</c:v>
                </c:pt>
                <c:pt idx="90">
                  <c:v>-0.29469460286961852</c:v>
                </c:pt>
                <c:pt idx="91">
                  <c:v>0.1273988771308717</c:v>
                </c:pt>
                <c:pt idx="92">
                  <c:v>0.10485538810238076</c:v>
                </c:pt>
                <c:pt idx="93">
                  <c:v>1.0508426036326837</c:v>
                </c:pt>
                <c:pt idx="94">
                  <c:v>0.35150862144732625</c:v>
                </c:pt>
                <c:pt idx="95">
                  <c:v>0.38381237041271171</c:v>
                </c:pt>
                <c:pt idx="96">
                  <c:v>0.17448257879917664</c:v>
                </c:pt>
                <c:pt idx="97">
                  <c:v>0.14926447603852158</c:v>
                </c:pt>
                <c:pt idx="98">
                  <c:v>0.31666303787486993</c:v>
                </c:pt>
              </c:numCache>
            </c:numRef>
          </c:yVal>
          <c:smooth val="0"/>
          <c:extLst>
            <c:ext xmlns:c16="http://schemas.microsoft.com/office/drawing/2014/chart" uri="{C3380CC4-5D6E-409C-BE32-E72D297353CC}">
              <c16:uniqueId val="{00000008-F67E-458F-A605-8B374E6BD0F5}"/>
            </c:ext>
          </c:extLst>
        </c:ser>
        <c:ser>
          <c:idx val="9"/>
          <c:order val="9"/>
          <c:tx>
            <c:strRef>
              <c:f>lns!$K$2</c:f>
              <c:strCache>
                <c:ptCount val="1"/>
              </c:strCache>
            </c:strRef>
          </c:tx>
          <c:spPr>
            <a:ln w="19050" cap="rnd">
              <a:solidFill>
                <a:schemeClr val="accent4">
                  <a:lumMod val="60000"/>
                </a:schemeClr>
              </a:solidFill>
              <a:round/>
            </a:ln>
            <a:effectLst/>
          </c:spPr>
          <c:marker>
            <c:symbol val="none"/>
          </c:marker>
          <c:xVal>
            <c:numRef>
              <c:f>lns!$A$4:$A$103</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xVal>
          <c:yVal>
            <c:numRef>
              <c:f>lns!$K$4:$K$103</c:f>
              <c:numCache>
                <c:formatCode>General</c:formatCode>
                <c:ptCount val="100"/>
                <c:pt idx="0">
                  <c:v>0.19601898391755218</c:v>
                </c:pt>
                <c:pt idx="1">
                  <c:v>0.27688903662249492</c:v>
                </c:pt>
                <c:pt idx="2">
                  <c:v>0.73429392234409929</c:v>
                </c:pt>
                <c:pt idx="3">
                  <c:v>0.6782264175493723</c:v>
                </c:pt>
                <c:pt idx="4">
                  <c:v>1.043691369768353</c:v>
                </c:pt>
                <c:pt idx="5">
                  <c:v>1.3212730567946018</c:v>
                </c:pt>
                <c:pt idx="6">
                  <c:v>1.4684709443069561</c:v>
                </c:pt>
                <c:pt idx="7">
                  <c:v>0.998088206735114</c:v>
                </c:pt>
                <c:pt idx="8">
                  <c:v>0.87344168426926749</c:v>
                </c:pt>
                <c:pt idx="9">
                  <c:v>0.70783380221156944</c:v>
                </c:pt>
                <c:pt idx="10">
                  <c:v>1.1444616249023902</c:v>
                </c:pt>
                <c:pt idx="11">
                  <c:v>1.2492453603883937</c:v>
                </c:pt>
                <c:pt idx="12">
                  <c:v>1.1149284531530457</c:v>
                </c:pt>
                <c:pt idx="13">
                  <c:v>0.79410953848598531</c:v>
                </c:pt>
                <c:pt idx="14">
                  <c:v>0.63835302847280673</c:v>
                </c:pt>
                <c:pt idx="15">
                  <c:v>0.36260631850615344</c:v>
                </c:pt>
                <c:pt idx="16">
                  <c:v>0.57254893591874234</c:v>
                </c:pt>
                <c:pt idx="17">
                  <c:v>0.28177465798731438</c:v>
                </c:pt>
                <c:pt idx="18">
                  <c:v>0.39300783750581203</c:v>
                </c:pt>
                <c:pt idx="19">
                  <c:v>0.58761998434502005</c:v>
                </c:pt>
                <c:pt idx="20">
                  <c:v>0.23280076990724541</c:v>
                </c:pt>
                <c:pt idx="21">
                  <c:v>0.28330500706226974</c:v>
                </c:pt>
                <c:pt idx="22">
                  <c:v>6.1414897701466145E-2</c:v>
                </c:pt>
                <c:pt idx="23">
                  <c:v>0.21661025574068135</c:v>
                </c:pt>
                <c:pt idx="24">
                  <c:v>3.4923029789229627E-2</c:v>
                </c:pt>
                <c:pt idx="25">
                  <c:v>-0.23897445137147566</c:v>
                </c:pt>
                <c:pt idx="26">
                  <c:v>-4.6563445149369123E-2</c:v>
                </c:pt>
                <c:pt idx="27">
                  <c:v>-0.23360306177731618</c:v>
                </c:pt>
                <c:pt idx="28">
                  <c:v>7.6988818528110819E-2</c:v>
                </c:pt>
                <c:pt idx="29">
                  <c:v>-0.2407743138171036</c:v>
                </c:pt>
                <c:pt idx="30">
                  <c:v>5.7598872379398404E-2</c:v>
                </c:pt>
                <c:pt idx="31">
                  <c:v>-0.15091010283986148</c:v>
                </c:pt>
                <c:pt idx="32">
                  <c:v>-0.19956741541058387</c:v>
                </c:pt>
                <c:pt idx="33">
                  <c:v>-0.17963756193283176</c:v>
                </c:pt>
                <c:pt idx="34">
                  <c:v>-0.30971911419369724</c:v>
                </c:pt>
                <c:pt idx="35">
                  <c:v>6.7518451730822798E-2</c:v>
                </c:pt>
                <c:pt idx="36">
                  <c:v>-0.38069688861996881</c:v>
                </c:pt>
                <c:pt idx="37">
                  <c:v>-0.59442102367264416</c:v>
                </c:pt>
                <c:pt idx="38">
                  <c:v>-0.43904774512529054</c:v>
                </c:pt>
                <c:pt idx="39">
                  <c:v>-4.8786964174551986E-2</c:v>
                </c:pt>
                <c:pt idx="40">
                  <c:v>-0.4408565622409486</c:v>
                </c:pt>
                <c:pt idx="41">
                  <c:v>-0.35794145991732068</c:v>
                </c:pt>
                <c:pt idx="42">
                  <c:v>-0.38099105598575783</c:v>
                </c:pt>
                <c:pt idx="43">
                  <c:v>-4.5975525666140911E-3</c:v>
                </c:pt>
                <c:pt idx="44">
                  <c:v>-3.3275300927085166E-3</c:v>
                </c:pt>
                <c:pt idx="45">
                  <c:v>-0.40099411789722739</c:v>
                </c:pt>
                <c:pt idx="46">
                  <c:v>0.15302147108240252</c:v>
                </c:pt>
                <c:pt idx="47">
                  <c:v>0.2497932719089673</c:v>
                </c:pt>
                <c:pt idx="48">
                  <c:v>0.14737635725897791</c:v>
                </c:pt>
                <c:pt idx="49">
                  <c:v>-1.3098410861334063E-2</c:v>
                </c:pt>
                <c:pt idx="50">
                  <c:v>-0.44875107321228397</c:v>
                </c:pt>
                <c:pt idx="51">
                  <c:v>-3.9825616070166596E-2</c:v>
                </c:pt>
                <c:pt idx="52">
                  <c:v>-0.17373572079705971</c:v>
                </c:pt>
                <c:pt idx="53">
                  <c:v>9.0589966194361715E-2</c:v>
                </c:pt>
                <c:pt idx="54">
                  <c:v>-0.30365970437866352</c:v>
                </c:pt>
                <c:pt idx="55">
                  <c:v>-9.2249069785892895E-2</c:v>
                </c:pt>
                <c:pt idx="56">
                  <c:v>-0.25151730600205646</c:v>
                </c:pt>
                <c:pt idx="57">
                  <c:v>-0.37630638588795973</c:v>
                </c:pt>
                <c:pt idx="58">
                  <c:v>-0.66544641407786898</c:v>
                </c:pt>
                <c:pt idx="59">
                  <c:v>-0.20796926534329854</c:v>
                </c:pt>
                <c:pt idx="60">
                  <c:v>0.20887422702193015</c:v>
                </c:pt>
                <c:pt idx="61">
                  <c:v>-0.2749659330121908</c:v>
                </c:pt>
                <c:pt idx="62">
                  <c:v>-0.50397083824922595</c:v>
                </c:pt>
                <c:pt idx="63">
                  <c:v>-6.1888169757019759E-2</c:v>
                </c:pt>
                <c:pt idx="64">
                  <c:v>7.3975106184572828E-2</c:v>
                </c:pt>
                <c:pt idx="65">
                  <c:v>2.2674274424015982E-3</c:v>
                </c:pt>
                <c:pt idx="66">
                  <c:v>-0.26445915722385765</c:v>
                </c:pt>
                <c:pt idx="67">
                  <c:v>-0.55911116527885463</c:v>
                </c:pt>
                <c:pt idx="68">
                  <c:v>-0.78933654673536868</c:v>
                </c:pt>
                <c:pt idx="69">
                  <c:v>-0.45065286873185711</c:v>
                </c:pt>
                <c:pt idx="70">
                  <c:v>-0.17034120861302263</c:v>
                </c:pt>
                <c:pt idx="71">
                  <c:v>0.11056594387759361</c:v>
                </c:pt>
                <c:pt idx="72">
                  <c:v>-0.18807809390633423</c:v>
                </c:pt>
                <c:pt idx="73">
                  <c:v>0.16868736551815103</c:v>
                </c:pt>
                <c:pt idx="74">
                  <c:v>0.27491593092210703</c:v>
                </c:pt>
                <c:pt idx="75">
                  <c:v>0.45476942579230772</c:v>
                </c:pt>
                <c:pt idx="76">
                  <c:v>0.24261671257771025</c:v>
                </c:pt>
                <c:pt idx="77">
                  <c:v>-7.8547680793780057E-3</c:v>
                </c:pt>
                <c:pt idx="78">
                  <c:v>-0.31280434399901053</c:v>
                </c:pt>
                <c:pt idx="79">
                  <c:v>-0.35143015051625021</c:v>
                </c:pt>
                <c:pt idx="80">
                  <c:v>4.1918992597781618E-2</c:v>
                </c:pt>
                <c:pt idx="81">
                  <c:v>1.1783903459402025</c:v>
                </c:pt>
                <c:pt idx="82">
                  <c:v>1.1568403154533102</c:v>
                </c:pt>
                <c:pt idx="83">
                  <c:v>0.61983427687089465</c:v>
                </c:pt>
                <c:pt idx="84">
                  <c:v>0.81879256016034307</c:v>
                </c:pt>
                <c:pt idx="85">
                  <c:v>0.35852024033161811</c:v>
                </c:pt>
                <c:pt idx="86">
                  <c:v>3.9076471981792843E-2</c:v>
                </c:pt>
                <c:pt idx="87">
                  <c:v>-4.4994227860345661E-2</c:v>
                </c:pt>
                <c:pt idx="88">
                  <c:v>0.24220865180238249</c:v>
                </c:pt>
                <c:pt idx="89">
                  <c:v>0.47888903683370748</c:v>
                </c:pt>
                <c:pt idx="90">
                  <c:v>-4.1397159896152294E-2</c:v>
                </c:pt>
                <c:pt idx="91">
                  <c:v>0.22061235052667785</c:v>
                </c:pt>
                <c:pt idx="92">
                  <c:v>0.20030881180834159</c:v>
                </c:pt>
                <c:pt idx="93">
                  <c:v>1.0982955718519667</c:v>
                </c:pt>
                <c:pt idx="94">
                  <c:v>0.42460738670317039</c:v>
                </c:pt>
                <c:pt idx="95">
                  <c:v>0.49707146753332759</c:v>
                </c:pt>
                <c:pt idx="96">
                  <c:v>0.32987912115156931</c:v>
                </c:pt>
                <c:pt idx="97">
                  <c:v>0.21845256582608627</c:v>
                </c:pt>
                <c:pt idx="98">
                  <c:v>0.43553510652751681</c:v>
                </c:pt>
              </c:numCache>
            </c:numRef>
          </c:yVal>
          <c:smooth val="0"/>
          <c:extLst>
            <c:ext xmlns:c16="http://schemas.microsoft.com/office/drawing/2014/chart" uri="{C3380CC4-5D6E-409C-BE32-E72D297353CC}">
              <c16:uniqueId val="{00000009-F67E-458F-A605-8B374E6BD0F5}"/>
            </c:ext>
          </c:extLst>
        </c:ser>
        <c:dLbls>
          <c:showLegendKey val="0"/>
          <c:showVal val="0"/>
          <c:showCatName val="0"/>
          <c:showSerName val="0"/>
          <c:showPercent val="0"/>
          <c:showBubbleSize val="0"/>
        </c:dLbls>
        <c:axId val="1663996623"/>
        <c:axId val="223107936"/>
      </c:scatterChart>
      <c:valAx>
        <c:axId val="1663996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07936"/>
        <c:crosses val="autoZero"/>
        <c:crossBetween val="midCat"/>
      </c:valAx>
      <c:valAx>
        <c:axId val="22310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996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 10 Test'!$E$3</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19050" cap="rnd">
                <a:solidFill>
                  <a:srgbClr val="FF0000"/>
                </a:solidFill>
              </a:ln>
              <a:effectLst/>
            </c:spPr>
            <c:trendlineType val="linear"/>
            <c:dispRSqr val="0"/>
            <c:dispEq val="0"/>
          </c:trendline>
          <c:xVal>
            <c:numRef>
              <c:f>'Lo 10 Test'!$B$4:$B$103</c:f>
              <c:numCache>
                <c:formatCode>General</c:formatCode>
                <c:ptCount val="100"/>
                <c:pt idx="0">
                  <c:v>-0.93395075618434931</c:v>
                </c:pt>
                <c:pt idx="1">
                  <c:v>-0.83268974699976428</c:v>
                </c:pt>
                <c:pt idx="2">
                  <c:v>-0.81990612946856478</c:v>
                </c:pt>
                <c:pt idx="3">
                  <c:v>-0.79023974787356122</c:v>
                </c:pt>
                <c:pt idx="4">
                  <c:v>-0.65638718479759495</c:v>
                </c:pt>
                <c:pt idx="5">
                  <c:v>-0.62176277108105626</c:v>
                </c:pt>
                <c:pt idx="6">
                  <c:v>-0.58976421897386588</c:v>
                </c:pt>
                <c:pt idx="7">
                  <c:v>-0.56563562082591567</c:v>
                </c:pt>
                <c:pt idx="8">
                  <c:v>-0.56291572674928114</c:v>
                </c:pt>
                <c:pt idx="9">
                  <c:v>-0.53616736366057804</c:v>
                </c:pt>
                <c:pt idx="10">
                  <c:v>-0.52970947326778262</c:v>
                </c:pt>
                <c:pt idx="11">
                  <c:v>-0.52572270296225043</c:v>
                </c:pt>
                <c:pt idx="12">
                  <c:v>-0.50447251423832618</c:v>
                </c:pt>
                <c:pt idx="13">
                  <c:v>-0.50029460345977395</c:v>
                </c:pt>
                <c:pt idx="14">
                  <c:v>-0.49097887979590693</c:v>
                </c:pt>
                <c:pt idx="15">
                  <c:v>-0.47136936143351865</c:v>
                </c:pt>
                <c:pt idx="16">
                  <c:v>-0.44696545765917634</c:v>
                </c:pt>
                <c:pt idx="17">
                  <c:v>-0.39252864612634225</c:v>
                </c:pt>
                <c:pt idx="18">
                  <c:v>-0.38846050929234055</c:v>
                </c:pt>
                <c:pt idx="19">
                  <c:v>-0.38266257327286107</c:v>
                </c:pt>
                <c:pt idx="20">
                  <c:v>-0.36308832290161042</c:v>
                </c:pt>
                <c:pt idx="21">
                  <c:v>-0.36291580624254272</c:v>
                </c:pt>
                <c:pt idx="22">
                  <c:v>-0.34896190887443218</c:v>
                </c:pt>
                <c:pt idx="23">
                  <c:v>-0.34795025779924194</c:v>
                </c:pt>
                <c:pt idx="24">
                  <c:v>-0.34741226105955086</c:v>
                </c:pt>
                <c:pt idx="25">
                  <c:v>-0.34436953838157791</c:v>
                </c:pt>
                <c:pt idx="26">
                  <c:v>-0.33059374883711867</c:v>
                </c:pt>
                <c:pt idx="27">
                  <c:v>-0.3214360488103386</c:v>
                </c:pt>
                <c:pt idx="28">
                  <c:v>-0.32124575017881118</c:v>
                </c:pt>
                <c:pt idx="29">
                  <c:v>-0.29266379397975617</c:v>
                </c:pt>
                <c:pt idx="30">
                  <c:v>-0.2796080882953364</c:v>
                </c:pt>
                <c:pt idx="31">
                  <c:v>-0.27787828698932948</c:v>
                </c:pt>
                <c:pt idx="32">
                  <c:v>-0.27119736165867575</c:v>
                </c:pt>
                <c:pt idx="33">
                  <c:v>-0.26510030401239504</c:v>
                </c:pt>
                <c:pt idx="34">
                  <c:v>-0.25273586661731062</c:v>
                </c:pt>
                <c:pt idx="35">
                  <c:v>-0.22194302223770915</c:v>
                </c:pt>
                <c:pt idx="36">
                  <c:v>-0.21921129278660473</c:v>
                </c:pt>
                <c:pt idx="37">
                  <c:v>-0.21276880558728198</c:v>
                </c:pt>
                <c:pt idx="38">
                  <c:v>-0.20667244777780561</c:v>
                </c:pt>
                <c:pt idx="39">
                  <c:v>-0.20076336642263864</c:v>
                </c:pt>
                <c:pt idx="40">
                  <c:v>-0.19370975688581646</c:v>
                </c:pt>
                <c:pt idx="41">
                  <c:v>-0.17967346608311599</c:v>
                </c:pt>
                <c:pt idx="42">
                  <c:v>-0.16662853885699141</c:v>
                </c:pt>
                <c:pt idx="43">
                  <c:v>-0.15638717892794601</c:v>
                </c:pt>
                <c:pt idx="44">
                  <c:v>-0.15229490284704039</c:v>
                </c:pt>
                <c:pt idx="45">
                  <c:v>-0.12807999282751312</c:v>
                </c:pt>
                <c:pt idx="46">
                  <c:v>-0.11406607711352797</c:v>
                </c:pt>
                <c:pt idx="47">
                  <c:v>-0.10296560796222036</c:v>
                </c:pt>
                <c:pt idx="48">
                  <c:v>-0.10137402782546633</c:v>
                </c:pt>
                <c:pt idx="49">
                  <c:v>-9.1786395630708395E-2</c:v>
                </c:pt>
                <c:pt idx="50">
                  <c:v>-9.1726110261675153E-2</c:v>
                </c:pt>
                <c:pt idx="51">
                  <c:v>-6.0215080689851493E-2</c:v>
                </c:pt>
                <c:pt idx="52">
                  <c:v>-4.5723570976395428E-2</c:v>
                </c:pt>
                <c:pt idx="53">
                  <c:v>-4.2323120646522307E-2</c:v>
                </c:pt>
                <c:pt idx="54">
                  <c:v>-2.1919486261983281E-2</c:v>
                </c:pt>
                <c:pt idx="55">
                  <c:v>-1.5836741826346576E-2</c:v>
                </c:pt>
                <c:pt idx="56">
                  <c:v>-9.7938031042754062E-3</c:v>
                </c:pt>
                <c:pt idx="57">
                  <c:v>-7.6975502699044521E-3</c:v>
                </c:pt>
                <c:pt idx="58">
                  <c:v>-1.2067278032126692E-3</c:v>
                </c:pt>
                <c:pt idx="59">
                  <c:v>2.8359748192080081E-3</c:v>
                </c:pt>
                <c:pt idx="60">
                  <c:v>1.2373136063141376E-2</c:v>
                </c:pt>
                <c:pt idx="61">
                  <c:v>2.723571761924265E-2</c:v>
                </c:pt>
                <c:pt idx="62">
                  <c:v>2.852914611397361E-2</c:v>
                </c:pt>
                <c:pt idx="63">
                  <c:v>4.652092472538872E-2</c:v>
                </c:pt>
                <c:pt idx="64">
                  <c:v>5.0550518597901162E-2</c:v>
                </c:pt>
                <c:pt idx="65">
                  <c:v>9.3982025470431288E-2</c:v>
                </c:pt>
                <c:pt idx="66">
                  <c:v>9.6709200718032171E-2</c:v>
                </c:pt>
                <c:pt idx="67">
                  <c:v>0.10613321704720032</c:v>
                </c:pt>
                <c:pt idx="68">
                  <c:v>0.10931169944013847</c:v>
                </c:pt>
                <c:pt idx="69">
                  <c:v>0.14190746518110714</c:v>
                </c:pt>
                <c:pt idx="70">
                  <c:v>0.15647369382542439</c:v>
                </c:pt>
                <c:pt idx="71">
                  <c:v>0.17938391280661184</c:v>
                </c:pt>
                <c:pt idx="72">
                  <c:v>0.18421975407703489</c:v>
                </c:pt>
                <c:pt idx="73">
                  <c:v>0.23605187921492243</c:v>
                </c:pt>
                <c:pt idx="74">
                  <c:v>0.23727522715737634</c:v>
                </c:pt>
                <c:pt idx="75">
                  <c:v>0.26191801106509732</c:v>
                </c:pt>
                <c:pt idx="76">
                  <c:v>0.27337267967789602</c:v>
                </c:pt>
                <c:pt idx="77">
                  <c:v>0.27894148456442991</c:v>
                </c:pt>
                <c:pt idx="78">
                  <c:v>0.29233373666683338</c:v>
                </c:pt>
                <c:pt idx="79">
                  <c:v>0.29685487338411559</c:v>
                </c:pt>
                <c:pt idx="80">
                  <c:v>0.31915166932117622</c:v>
                </c:pt>
                <c:pt idx="81">
                  <c:v>0.35058644659817489</c:v>
                </c:pt>
                <c:pt idx="82">
                  <c:v>0.35616981638328693</c:v>
                </c:pt>
                <c:pt idx="83">
                  <c:v>0.39954763434412677</c:v>
                </c:pt>
                <c:pt idx="84">
                  <c:v>0.48784354737406654</c:v>
                </c:pt>
                <c:pt idx="85">
                  <c:v>0.49083513882566865</c:v>
                </c:pt>
                <c:pt idx="86">
                  <c:v>0.51675600424673629</c:v>
                </c:pt>
                <c:pt idx="87">
                  <c:v>0.52912123372882436</c:v>
                </c:pt>
                <c:pt idx="88">
                  <c:v>0.55459750309466938</c:v>
                </c:pt>
                <c:pt idx="89">
                  <c:v>0.56702824765087667</c:v>
                </c:pt>
                <c:pt idx="90">
                  <c:v>0.63909218143720103</c:v>
                </c:pt>
                <c:pt idx="91">
                  <c:v>0.69828396466509768</c:v>
                </c:pt>
                <c:pt idx="92">
                  <c:v>0.70636938072906674</c:v>
                </c:pt>
                <c:pt idx="93">
                  <c:v>0.7177617413238645</c:v>
                </c:pt>
                <c:pt idx="94">
                  <c:v>0.74676851296286928</c:v>
                </c:pt>
                <c:pt idx="95">
                  <c:v>0.81611232144096479</c:v>
                </c:pt>
                <c:pt idx="96">
                  <c:v>0.86300809162856662</c:v>
                </c:pt>
                <c:pt idx="97">
                  <c:v>0.89540207506134994</c:v>
                </c:pt>
                <c:pt idx="98">
                  <c:v>1.0537753003922292</c:v>
                </c:pt>
              </c:numCache>
            </c:numRef>
          </c:xVal>
          <c:yVal>
            <c:numRef>
              <c:f>'Lo 10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7E5B-407A-BD4E-639763917516}"/>
            </c:ext>
          </c:extLst>
        </c:ser>
        <c:dLbls>
          <c:showLegendKey val="0"/>
          <c:showVal val="0"/>
          <c:showCatName val="0"/>
          <c:showSerName val="0"/>
          <c:showPercent val="0"/>
          <c:showBubbleSize val="0"/>
        </c:dLbls>
        <c:axId val="200767312"/>
        <c:axId val="200767792"/>
      </c:scatterChart>
      <c:valAx>
        <c:axId val="200767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00767792"/>
        <c:crosses val="autoZero"/>
        <c:crossBetween val="midCat"/>
      </c:valAx>
      <c:valAx>
        <c:axId val="20076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673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2 Test'!$E$3</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2 Test'!$B$4:$B$103</c:f>
              <c:numCache>
                <c:formatCode>General</c:formatCode>
                <c:ptCount val="100"/>
                <c:pt idx="0">
                  <c:v>-0.99232979815974498</c:v>
                </c:pt>
                <c:pt idx="1">
                  <c:v>-0.91039564211063739</c:v>
                </c:pt>
                <c:pt idx="2">
                  <c:v>-0.88186998167202491</c:v>
                </c:pt>
                <c:pt idx="3">
                  <c:v>-0.84751355031327014</c:v>
                </c:pt>
                <c:pt idx="4">
                  <c:v>-0.82057836023253861</c:v>
                </c:pt>
                <c:pt idx="5">
                  <c:v>-0.74585199699197358</c:v>
                </c:pt>
                <c:pt idx="6">
                  <c:v>-0.72435099509259526</c:v>
                </c:pt>
                <c:pt idx="7">
                  <c:v>-0.71635234994266039</c:v>
                </c:pt>
                <c:pt idx="8">
                  <c:v>-0.61420846667874374</c:v>
                </c:pt>
                <c:pt idx="9">
                  <c:v>-0.61085224183316122</c:v>
                </c:pt>
                <c:pt idx="10">
                  <c:v>-0.60740444128428173</c:v>
                </c:pt>
                <c:pt idx="11">
                  <c:v>-0.57779732490882729</c:v>
                </c:pt>
                <c:pt idx="12">
                  <c:v>-0.54844615123289842</c:v>
                </c:pt>
                <c:pt idx="13">
                  <c:v>-0.5344832721166658</c:v>
                </c:pt>
                <c:pt idx="14">
                  <c:v>-0.50109313842161074</c:v>
                </c:pt>
                <c:pt idx="15">
                  <c:v>-0.49620634146282616</c:v>
                </c:pt>
                <c:pt idx="16">
                  <c:v>-0.48745420877617579</c:v>
                </c:pt>
                <c:pt idx="17">
                  <c:v>-0.48293649945080813</c:v>
                </c:pt>
                <c:pt idx="18">
                  <c:v>-0.4672953000823607</c:v>
                </c:pt>
                <c:pt idx="19">
                  <c:v>-0.46472956162304446</c:v>
                </c:pt>
                <c:pt idx="20">
                  <c:v>-0.45233189814806601</c:v>
                </c:pt>
                <c:pt idx="21">
                  <c:v>-0.43274638089002776</c:v>
                </c:pt>
                <c:pt idx="22">
                  <c:v>-0.41479903397792467</c:v>
                </c:pt>
                <c:pt idx="23">
                  <c:v>-0.41426017153979255</c:v>
                </c:pt>
                <c:pt idx="24">
                  <c:v>-0.40000305233115735</c:v>
                </c:pt>
                <c:pt idx="25">
                  <c:v>-0.39887437478421522</c:v>
                </c:pt>
                <c:pt idx="26">
                  <c:v>-0.3932485352411878</c:v>
                </c:pt>
                <c:pt idx="27">
                  <c:v>-0.39117766150009486</c:v>
                </c:pt>
                <c:pt idx="28">
                  <c:v>-0.3865746614281339</c:v>
                </c:pt>
                <c:pt idx="29">
                  <c:v>-0.37306132753182947</c:v>
                </c:pt>
                <c:pt idx="30">
                  <c:v>-0.37148840925610288</c:v>
                </c:pt>
                <c:pt idx="31">
                  <c:v>-0.35765113454348979</c:v>
                </c:pt>
                <c:pt idx="32">
                  <c:v>-0.35597233368427877</c:v>
                </c:pt>
                <c:pt idx="33">
                  <c:v>-0.34909375391841913</c:v>
                </c:pt>
                <c:pt idx="34">
                  <c:v>-0.33726455041890901</c:v>
                </c:pt>
                <c:pt idx="35">
                  <c:v>-0.32998432868568783</c:v>
                </c:pt>
                <c:pt idx="36">
                  <c:v>-0.29207035355521044</c:v>
                </c:pt>
                <c:pt idx="37">
                  <c:v>-0.27453158703168357</c:v>
                </c:pt>
                <c:pt idx="38">
                  <c:v>-0.23112532105586744</c:v>
                </c:pt>
                <c:pt idx="39">
                  <c:v>-0.2240126788961897</c:v>
                </c:pt>
                <c:pt idx="40">
                  <c:v>-0.21179444672606712</c:v>
                </c:pt>
                <c:pt idx="41">
                  <c:v>-0.20898057148630217</c:v>
                </c:pt>
                <c:pt idx="42">
                  <c:v>-0.18162739777808151</c:v>
                </c:pt>
                <c:pt idx="43">
                  <c:v>-0.18095009767409037</c:v>
                </c:pt>
                <c:pt idx="44">
                  <c:v>-0.18012716623101893</c:v>
                </c:pt>
                <c:pt idx="45">
                  <c:v>-0.17765764973644846</c:v>
                </c:pt>
                <c:pt idx="46">
                  <c:v>-0.1522448304458312</c:v>
                </c:pt>
                <c:pt idx="47">
                  <c:v>-0.13150487596860549</c:v>
                </c:pt>
                <c:pt idx="48">
                  <c:v>-0.12812432292305176</c:v>
                </c:pt>
                <c:pt idx="49">
                  <c:v>-0.12513474335727839</c:v>
                </c:pt>
                <c:pt idx="50">
                  <c:v>-0.12398623578102401</c:v>
                </c:pt>
                <c:pt idx="51">
                  <c:v>-0.11510898910779314</c:v>
                </c:pt>
                <c:pt idx="52">
                  <c:v>-0.1111326982525174</c:v>
                </c:pt>
                <c:pt idx="53">
                  <c:v>-0.108460872356177</c:v>
                </c:pt>
                <c:pt idx="54">
                  <c:v>-9.4153548959743871E-2</c:v>
                </c:pt>
                <c:pt idx="55">
                  <c:v>-9.3368266538984002E-2</c:v>
                </c:pt>
                <c:pt idx="56">
                  <c:v>-8.0128211328869797E-2</c:v>
                </c:pt>
                <c:pt idx="57">
                  <c:v>-5.8476929758975837E-2</c:v>
                </c:pt>
                <c:pt idx="58">
                  <c:v>-4.6378025715938527E-2</c:v>
                </c:pt>
                <c:pt idx="59">
                  <c:v>-4.5768583744850558E-2</c:v>
                </c:pt>
                <c:pt idx="60">
                  <c:v>-4.4847795526988185E-2</c:v>
                </c:pt>
                <c:pt idx="61">
                  <c:v>-4.3231144192277471E-2</c:v>
                </c:pt>
                <c:pt idx="62">
                  <c:v>-4.2315818052588772E-2</c:v>
                </c:pt>
                <c:pt idx="63">
                  <c:v>-4.473993399446605E-3</c:v>
                </c:pt>
                <c:pt idx="64">
                  <c:v>4.519322674875343E-2</c:v>
                </c:pt>
                <c:pt idx="65">
                  <c:v>5.0189185083139257E-2</c:v>
                </c:pt>
                <c:pt idx="66">
                  <c:v>6.2664891990191804E-2</c:v>
                </c:pt>
                <c:pt idx="67">
                  <c:v>7.41886831822135E-2</c:v>
                </c:pt>
                <c:pt idx="68">
                  <c:v>7.9541043399515399E-2</c:v>
                </c:pt>
                <c:pt idx="69">
                  <c:v>0.10784043810664656</c:v>
                </c:pt>
                <c:pt idx="70">
                  <c:v>0.10946408449056355</c:v>
                </c:pt>
                <c:pt idx="71">
                  <c:v>0.11472948943690137</c:v>
                </c:pt>
                <c:pt idx="72">
                  <c:v>0.13349889209638613</c:v>
                </c:pt>
                <c:pt idx="73">
                  <c:v>0.18472699474033857</c:v>
                </c:pt>
                <c:pt idx="74">
                  <c:v>0.18918130814166426</c:v>
                </c:pt>
                <c:pt idx="75">
                  <c:v>0.19468646196408521</c:v>
                </c:pt>
                <c:pt idx="76">
                  <c:v>0.22138200069454894</c:v>
                </c:pt>
                <c:pt idx="77">
                  <c:v>0.22719931557204007</c:v>
                </c:pt>
                <c:pt idx="78">
                  <c:v>0.25193312573704629</c:v>
                </c:pt>
                <c:pt idx="79">
                  <c:v>0.26460022438341801</c:v>
                </c:pt>
                <c:pt idx="80">
                  <c:v>0.27654023203293632</c:v>
                </c:pt>
                <c:pt idx="81">
                  <c:v>0.27714677053639819</c:v>
                </c:pt>
                <c:pt idx="82">
                  <c:v>0.31863553277343049</c:v>
                </c:pt>
                <c:pt idx="83">
                  <c:v>0.32452977994524601</c:v>
                </c:pt>
                <c:pt idx="84">
                  <c:v>0.36119272338755598</c:v>
                </c:pt>
                <c:pt idx="85">
                  <c:v>0.37256994640389501</c:v>
                </c:pt>
                <c:pt idx="86">
                  <c:v>0.41753200932630241</c:v>
                </c:pt>
                <c:pt idx="87">
                  <c:v>0.45280660441721399</c:v>
                </c:pt>
                <c:pt idx="88">
                  <c:v>0.45889844430521437</c:v>
                </c:pt>
                <c:pt idx="89">
                  <c:v>0.46581988959940457</c:v>
                </c:pt>
                <c:pt idx="90">
                  <c:v>0.56859818231379899</c:v>
                </c:pt>
                <c:pt idx="91">
                  <c:v>0.61772834960612277</c:v>
                </c:pt>
                <c:pt idx="92">
                  <c:v>0.61873608554605397</c:v>
                </c:pt>
                <c:pt idx="93">
                  <c:v>0.67848521737929846</c:v>
                </c:pt>
                <c:pt idx="94">
                  <c:v>0.70430470325582228</c:v>
                </c:pt>
                <c:pt idx="95">
                  <c:v>0.7167318625486403</c:v>
                </c:pt>
                <c:pt idx="96">
                  <c:v>0.78093367373605982</c:v>
                </c:pt>
                <c:pt idx="97">
                  <c:v>0.82940734669322425</c:v>
                </c:pt>
                <c:pt idx="98">
                  <c:v>0.88961405232400814</c:v>
                </c:pt>
              </c:numCache>
            </c:numRef>
          </c:xVal>
          <c:yVal>
            <c:numRef>
              <c:f>'Dec 2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AAE5-48B2-84E0-0146D647096E}"/>
            </c:ext>
          </c:extLst>
        </c:ser>
        <c:dLbls>
          <c:showLegendKey val="0"/>
          <c:showVal val="0"/>
          <c:showCatName val="0"/>
          <c:showSerName val="0"/>
          <c:showPercent val="0"/>
          <c:showBubbleSize val="0"/>
        </c:dLbls>
        <c:axId val="1560929712"/>
        <c:axId val="1655105903"/>
      </c:scatterChart>
      <c:valAx>
        <c:axId val="156092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655105903"/>
        <c:crosses val="autoZero"/>
        <c:crossBetween val="midCat"/>
      </c:valAx>
      <c:valAx>
        <c:axId val="165510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9297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3 Test'!$E$3</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3 Test'!$B$4:$B$103</c:f>
              <c:numCache>
                <c:formatCode>General</c:formatCode>
                <c:ptCount val="100"/>
                <c:pt idx="0">
                  <c:v>-1.0958840137969508</c:v>
                </c:pt>
                <c:pt idx="1">
                  <c:v>-1.0421119246287798</c:v>
                </c:pt>
                <c:pt idx="2">
                  <c:v>-0.93865904773616338</c:v>
                </c:pt>
                <c:pt idx="3">
                  <c:v>-0.7846793062071703</c:v>
                </c:pt>
                <c:pt idx="4">
                  <c:v>-0.74963922823585627</c:v>
                </c:pt>
                <c:pt idx="5">
                  <c:v>-0.72365174989822945</c:v>
                </c:pt>
                <c:pt idx="6">
                  <c:v>-0.66248995268256894</c:v>
                </c:pt>
                <c:pt idx="7">
                  <c:v>-0.61253355896570305</c:v>
                </c:pt>
                <c:pt idx="8">
                  <c:v>-0.59812067735165797</c:v>
                </c:pt>
                <c:pt idx="9">
                  <c:v>-0.5951188800132573</c:v>
                </c:pt>
                <c:pt idx="10">
                  <c:v>-0.58964338754528389</c:v>
                </c:pt>
                <c:pt idx="11">
                  <c:v>-0.5697673915425927</c:v>
                </c:pt>
                <c:pt idx="12">
                  <c:v>-0.56595785640403984</c:v>
                </c:pt>
                <c:pt idx="13">
                  <c:v>-0.56505480259512841</c:v>
                </c:pt>
                <c:pt idx="14">
                  <c:v>-0.53757351365919614</c:v>
                </c:pt>
                <c:pt idx="15">
                  <c:v>-0.53120011454492722</c:v>
                </c:pt>
                <c:pt idx="16">
                  <c:v>-0.53012737652076902</c:v>
                </c:pt>
                <c:pt idx="17">
                  <c:v>-0.52713625518290097</c:v>
                </c:pt>
                <c:pt idx="18">
                  <c:v>-0.51748273323028715</c:v>
                </c:pt>
                <c:pt idx="19">
                  <c:v>-0.51259886169015012</c:v>
                </c:pt>
                <c:pt idx="20">
                  <c:v>-0.49651681807977804</c:v>
                </c:pt>
                <c:pt idx="21">
                  <c:v>-0.48324450400522617</c:v>
                </c:pt>
                <c:pt idx="22">
                  <c:v>-0.4675298914595703</c:v>
                </c:pt>
                <c:pt idx="23">
                  <c:v>-0.42777206863070505</c:v>
                </c:pt>
                <c:pt idx="24">
                  <c:v>-0.42246071876438174</c:v>
                </c:pt>
                <c:pt idx="25">
                  <c:v>-0.41574274251929855</c:v>
                </c:pt>
                <c:pt idx="26">
                  <c:v>-0.40490526484965034</c:v>
                </c:pt>
                <c:pt idx="27">
                  <c:v>-0.39989117139622316</c:v>
                </c:pt>
                <c:pt idx="28">
                  <c:v>-0.36865065305785333</c:v>
                </c:pt>
                <c:pt idx="29">
                  <c:v>-0.36817221354205443</c:v>
                </c:pt>
                <c:pt idx="30">
                  <c:v>-0.35284087481286985</c:v>
                </c:pt>
                <c:pt idx="31">
                  <c:v>-0.35091300441237433</c:v>
                </c:pt>
                <c:pt idx="32">
                  <c:v>-0.33973073978094925</c:v>
                </c:pt>
                <c:pt idx="33">
                  <c:v>-0.33528673960057176</c:v>
                </c:pt>
                <c:pt idx="34">
                  <c:v>-0.30942201513214379</c:v>
                </c:pt>
                <c:pt idx="35">
                  <c:v>-0.30082810412179617</c:v>
                </c:pt>
                <c:pt idx="36">
                  <c:v>-0.28620050385009427</c:v>
                </c:pt>
                <c:pt idx="37">
                  <c:v>-0.2843861765554283</c:v>
                </c:pt>
                <c:pt idx="38">
                  <c:v>-0.27432237856916203</c:v>
                </c:pt>
                <c:pt idx="39">
                  <c:v>-0.2689165841055054</c:v>
                </c:pt>
                <c:pt idx="40">
                  <c:v>-0.26654569447373089</c:v>
                </c:pt>
                <c:pt idx="41">
                  <c:v>-0.26599233797405092</c:v>
                </c:pt>
                <c:pt idx="42">
                  <c:v>-0.26223007347150556</c:v>
                </c:pt>
                <c:pt idx="43">
                  <c:v>-0.25842363894100301</c:v>
                </c:pt>
                <c:pt idx="44">
                  <c:v>-0.21781775855886204</c:v>
                </c:pt>
                <c:pt idx="45">
                  <c:v>-0.21774564625261708</c:v>
                </c:pt>
                <c:pt idx="46">
                  <c:v>-0.21638022425995129</c:v>
                </c:pt>
                <c:pt idx="47">
                  <c:v>-0.20815395869744852</c:v>
                </c:pt>
                <c:pt idx="48">
                  <c:v>-0.19258888588575568</c:v>
                </c:pt>
                <c:pt idx="49">
                  <c:v>-0.19115929480813881</c:v>
                </c:pt>
                <c:pt idx="50">
                  <c:v>-0.18032115892456921</c:v>
                </c:pt>
                <c:pt idx="51">
                  <c:v>-0.17494046420269982</c:v>
                </c:pt>
                <c:pt idx="52">
                  <c:v>-0.15773158361716896</c:v>
                </c:pt>
                <c:pt idx="53">
                  <c:v>-0.15541130741776335</c:v>
                </c:pt>
                <c:pt idx="54">
                  <c:v>-0.13233325353705008</c:v>
                </c:pt>
                <c:pt idx="55">
                  <c:v>-0.1248050070923102</c:v>
                </c:pt>
                <c:pt idx="56">
                  <c:v>-0.10910083527354957</c:v>
                </c:pt>
                <c:pt idx="57">
                  <c:v>-8.6893202154368854E-2</c:v>
                </c:pt>
                <c:pt idx="58">
                  <c:v>-8.4155821607828016E-2</c:v>
                </c:pt>
                <c:pt idx="59">
                  <c:v>-7.9719843133235282E-2</c:v>
                </c:pt>
                <c:pt idx="60">
                  <c:v>-6.966095174573543E-2</c:v>
                </c:pt>
                <c:pt idx="61">
                  <c:v>-6.4419061606478423E-2</c:v>
                </c:pt>
                <c:pt idx="62">
                  <c:v>-6.1635007083759054E-2</c:v>
                </c:pt>
                <c:pt idx="63">
                  <c:v>-5.2515093111301051E-2</c:v>
                </c:pt>
                <c:pt idx="64">
                  <c:v>-1.3413560917421635E-2</c:v>
                </c:pt>
                <c:pt idx="65">
                  <c:v>2.4868206928880785E-2</c:v>
                </c:pt>
                <c:pt idx="66">
                  <c:v>2.7838877416499722E-2</c:v>
                </c:pt>
                <c:pt idx="67">
                  <c:v>4.9504194903089091E-2</c:v>
                </c:pt>
                <c:pt idx="68">
                  <c:v>5.1329793721441738E-2</c:v>
                </c:pt>
                <c:pt idx="69">
                  <c:v>6.065285671194405E-2</c:v>
                </c:pt>
                <c:pt idx="70">
                  <c:v>7.1948499312584041E-2</c:v>
                </c:pt>
                <c:pt idx="71">
                  <c:v>9.7353545255909918E-2</c:v>
                </c:pt>
                <c:pt idx="72">
                  <c:v>0.10426992117579686</c:v>
                </c:pt>
                <c:pt idx="73">
                  <c:v>0.11589681341271334</c:v>
                </c:pt>
                <c:pt idx="74">
                  <c:v>0.12387113219686051</c:v>
                </c:pt>
                <c:pt idx="75">
                  <c:v>0.13321884378622278</c:v>
                </c:pt>
                <c:pt idx="76">
                  <c:v>0.13575392097761985</c:v>
                </c:pt>
                <c:pt idx="77">
                  <c:v>0.1636058385980135</c:v>
                </c:pt>
                <c:pt idx="78">
                  <c:v>0.20039884033107513</c:v>
                </c:pt>
                <c:pt idx="79">
                  <c:v>0.20068524081091252</c:v>
                </c:pt>
                <c:pt idx="80">
                  <c:v>0.2394577481647637</c:v>
                </c:pt>
                <c:pt idx="81">
                  <c:v>0.24219295383134501</c:v>
                </c:pt>
                <c:pt idx="82">
                  <c:v>0.24231853070025075</c:v>
                </c:pt>
                <c:pt idx="83">
                  <c:v>0.24457622191667594</c:v>
                </c:pt>
                <c:pt idx="84">
                  <c:v>0.28018906989283926</c:v>
                </c:pt>
                <c:pt idx="85">
                  <c:v>0.3292030226455982</c:v>
                </c:pt>
                <c:pt idx="86">
                  <c:v>0.38954573122594804</c:v>
                </c:pt>
                <c:pt idx="87">
                  <c:v>0.4142464391155033</c:v>
                </c:pt>
                <c:pt idx="88">
                  <c:v>0.44486529233503613</c:v>
                </c:pt>
                <c:pt idx="89">
                  <c:v>0.44844796628001871</c:v>
                </c:pt>
                <c:pt idx="90">
                  <c:v>0.48943854188434294</c:v>
                </c:pt>
                <c:pt idx="91">
                  <c:v>0.50890578204867132</c:v>
                </c:pt>
                <c:pt idx="92">
                  <c:v>0.57009214731372826</c:v>
                </c:pt>
                <c:pt idx="93">
                  <c:v>0.59339314142263777</c:v>
                </c:pt>
                <c:pt idx="94">
                  <c:v>0.67680436121977183</c:v>
                </c:pt>
                <c:pt idx="95">
                  <c:v>0.80906625790264386</c:v>
                </c:pt>
                <c:pt idx="96">
                  <c:v>0.82154039532834433</c:v>
                </c:pt>
                <c:pt idx="97">
                  <c:v>0.84018692320926025</c:v>
                </c:pt>
                <c:pt idx="98">
                  <c:v>0.89946191840718148</c:v>
                </c:pt>
              </c:numCache>
            </c:numRef>
          </c:xVal>
          <c:yVal>
            <c:numRef>
              <c:f>'Dec 3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DF8F-4E7D-BF7C-5A5274E92BA1}"/>
            </c:ext>
          </c:extLst>
        </c:ser>
        <c:dLbls>
          <c:showLegendKey val="0"/>
          <c:showVal val="0"/>
          <c:showCatName val="0"/>
          <c:showSerName val="0"/>
          <c:showPercent val="0"/>
          <c:showBubbleSize val="0"/>
        </c:dLbls>
        <c:axId val="153838240"/>
        <c:axId val="166181184"/>
      </c:scatterChart>
      <c:valAx>
        <c:axId val="153838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66181184"/>
        <c:crosses val="autoZero"/>
        <c:crossBetween val="midCat"/>
      </c:valAx>
      <c:valAx>
        <c:axId val="16618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382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4 Test'!$E$3</c:f>
              <c:strCache>
                <c:ptCount val="1"/>
                <c:pt idx="0">
                  <c:v>Rank-Based Z Scores</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4 Test'!$B$4:$B$103</c:f>
              <c:numCache>
                <c:formatCode>General</c:formatCode>
                <c:ptCount val="100"/>
                <c:pt idx="0">
                  <c:v>-1.1022077445800837</c:v>
                </c:pt>
                <c:pt idx="1">
                  <c:v>-0.88684844127419737</c:v>
                </c:pt>
                <c:pt idx="2">
                  <c:v>-0.85370802835155857</c:v>
                </c:pt>
                <c:pt idx="3">
                  <c:v>-0.8050423338651127</c:v>
                </c:pt>
                <c:pt idx="4">
                  <c:v>-0.80386647329487382</c:v>
                </c:pt>
                <c:pt idx="5">
                  <c:v>-0.76760352107918817</c:v>
                </c:pt>
                <c:pt idx="6">
                  <c:v>-0.75311589253228028</c:v>
                </c:pt>
                <c:pt idx="7">
                  <c:v>-0.73860490348472863</c:v>
                </c:pt>
                <c:pt idx="8">
                  <c:v>-0.7227943467054645</c:v>
                </c:pt>
                <c:pt idx="9">
                  <c:v>-0.7163994309701408</c:v>
                </c:pt>
                <c:pt idx="10">
                  <c:v>-0.71459351800780235</c:v>
                </c:pt>
                <c:pt idx="11">
                  <c:v>-0.70387855634931473</c:v>
                </c:pt>
                <c:pt idx="12">
                  <c:v>-0.67508331894301399</c:v>
                </c:pt>
                <c:pt idx="13">
                  <c:v>-0.66406033433231582</c:v>
                </c:pt>
                <c:pt idx="14">
                  <c:v>-0.66302154870540153</c:v>
                </c:pt>
                <c:pt idx="15">
                  <c:v>-0.64990763068299573</c:v>
                </c:pt>
                <c:pt idx="16">
                  <c:v>-0.64310637020315553</c:v>
                </c:pt>
                <c:pt idx="17">
                  <c:v>-0.620387545575802</c:v>
                </c:pt>
                <c:pt idx="18">
                  <c:v>-0.6062138066124737</c:v>
                </c:pt>
                <c:pt idx="19">
                  <c:v>-0.57668234668322338</c:v>
                </c:pt>
                <c:pt idx="20">
                  <c:v>-0.55375922115117748</c:v>
                </c:pt>
                <c:pt idx="21">
                  <c:v>-0.518760353974272</c:v>
                </c:pt>
                <c:pt idx="22">
                  <c:v>-0.51394882923197172</c:v>
                </c:pt>
                <c:pt idx="23">
                  <c:v>-0.47560971401522001</c:v>
                </c:pt>
                <c:pt idx="24">
                  <c:v>-0.45108609941513234</c:v>
                </c:pt>
                <c:pt idx="25">
                  <c:v>-0.44649024826109629</c:v>
                </c:pt>
                <c:pt idx="26">
                  <c:v>-0.44074778551284527</c:v>
                </c:pt>
                <c:pt idx="27">
                  <c:v>-0.41716528905640088</c:v>
                </c:pt>
                <c:pt idx="28">
                  <c:v>-0.41215896204261099</c:v>
                </c:pt>
                <c:pt idx="29">
                  <c:v>-0.39745676069469604</c:v>
                </c:pt>
                <c:pt idx="30">
                  <c:v>-0.39096918354366567</c:v>
                </c:pt>
                <c:pt idx="31">
                  <c:v>-0.35839928690677841</c:v>
                </c:pt>
                <c:pt idx="32">
                  <c:v>-0.35752816497115453</c:v>
                </c:pt>
                <c:pt idx="33">
                  <c:v>-0.34994762318930583</c:v>
                </c:pt>
                <c:pt idx="34">
                  <c:v>-0.34902428500820959</c:v>
                </c:pt>
                <c:pt idx="35">
                  <c:v>-0.34794459316806609</c:v>
                </c:pt>
                <c:pt idx="36">
                  <c:v>-0.34381795043622404</c:v>
                </c:pt>
                <c:pt idx="37">
                  <c:v>-0.33491624779993101</c:v>
                </c:pt>
                <c:pt idx="38">
                  <c:v>-0.33269478020173598</c:v>
                </c:pt>
                <c:pt idx="39">
                  <c:v>-0.33157962498900656</c:v>
                </c:pt>
                <c:pt idx="40">
                  <c:v>-0.31783892015353421</c:v>
                </c:pt>
                <c:pt idx="41">
                  <c:v>-0.2994348667666577</c:v>
                </c:pt>
                <c:pt idx="42">
                  <c:v>-0.26880143868849288</c:v>
                </c:pt>
                <c:pt idx="43">
                  <c:v>-0.26055859566905137</c:v>
                </c:pt>
                <c:pt idx="44">
                  <c:v>-0.24828573369593768</c:v>
                </c:pt>
                <c:pt idx="45">
                  <c:v>-0.24044358770491642</c:v>
                </c:pt>
                <c:pt idx="46">
                  <c:v>-0.23112658107379755</c:v>
                </c:pt>
                <c:pt idx="47">
                  <c:v>-0.20491078305315005</c:v>
                </c:pt>
                <c:pt idx="48">
                  <c:v>-0.20325269261641696</c:v>
                </c:pt>
                <c:pt idx="49">
                  <c:v>-0.19393918080821171</c:v>
                </c:pt>
                <c:pt idx="50">
                  <c:v>-0.19062432961653014</c:v>
                </c:pt>
                <c:pt idx="51">
                  <c:v>-0.18582368208212638</c:v>
                </c:pt>
                <c:pt idx="52">
                  <c:v>-0.17990807159383071</c:v>
                </c:pt>
                <c:pt idx="53">
                  <c:v>-0.15463596422535328</c:v>
                </c:pt>
                <c:pt idx="54">
                  <c:v>-0.14680770557199979</c:v>
                </c:pt>
                <c:pt idx="55">
                  <c:v>-0.14648000812991274</c:v>
                </c:pt>
                <c:pt idx="56">
                  <c:v>-0.14382995553200648</c:v>
                </c:pt>
                <c:pt idx="57">
                  <c:v>-0.13420704940059183</c:v>
                </c:pt>
                <c:pt idx="58">
                  <c:v>-0.11984378253743376</c:v>
                </c:pt>
                <c:pt idx="59">
                  <c:v>-0.10070802197716949</c:v>
                </c:pt>
                <c:pt idx="60">
                  <c:v>-9.4621716849340842E-2</c:v>
                </c:pt>
                <c:pt idx="61">
                  <c:v>-7.8420024935573623E-2</c:v>
                </c:pt>
                <c:pt idx="62">
                  <c:v>-6.9190390992644735E-2</c:v>
                </c:pt>
                <c:pt idx="63">
                  <c:v>-5.8058230318103338E-2</c:v>
                </c:pt>
                <c:pt idx="64">
                  <c:v>-3.6412978531794753E-2</c:v>
                </c:pt>
                <c:pt idx="65">
                  <c:v>-2.0748774752553253E-2</c:v>
                </c:pt>
                <c:pt idx="66">
                  <c:v>-7.9263305244452447E-3</c:v>
                </c:pt>
                <c:pt idx="67">
                  <c:v>1.0094902931736811E-3</c:v>
                </c:pt>
                <c:pt idx="68">
                  <c:v>1.7004598815823765E-2</c:v>
                </c:pt>
                <c:pt idx="69">
                  <c:v>3.2641424715762202E-2</c:v>
                </c:pt>
                <c:pt idx="70">
                  <c:v>3.6061883145022074E-2</c:v>
                </c:pt>
                <c:pt idx="71">
                  <c:v>7.7136951588903255E-2</c:v>
                </c:pt>
                <c:pt idx="72">
                  <c:v>0.11505041656245515</c:v>
                </c:pt>
                <c:pt idx="73">
                  <c:v>0.1319839459462564</c:v>
                </c:pt>
                <c:pt idx="74">
                  <c:v>0.15587490677897109</c:v>
                </c:pt>
                <c:pt idx="75">
                  <c:v>0.15903587068486968</c:v>
                </c:pt>
                <c:pt idx="76">
                  <c:v>0.17116791892386501</c:v>
                </c:pt>
                <c:pt idx="77">
                  <c:v>0.17736763971760788</c:v>
                </c:pt>
                <c:pt idx="78">
                  <c:v>0.18250487332378618</c:v>
                </c:pt>
                <c:pt idx="79">
                  <c:v>0.20196077204630308</c:v>
                </c:pt>
                <c:pt idx="80">
                  <c:v>0.22366341616106086</c:v>
                </c:pt>
                <c:pt idx="81">
                  <c:v>0.22927670501765696</c:v>
                </c:pt>
                <c:pt idx="82">
                  <c:v>0.24866313893961858</c:v>
                </c:pt>
                <c:pt idx="83">
                  <c:v>0.25962975988461989</c:v>
                </c:pt>
                <c:pt idx="84">
                  <c:v>0.26615706270618728</c:v>
                </c:pt>
                <c:pt idx="85">
                  <c:v>0.28629861591694805</c:v>
                </c:pt>
                <c:pt idx="86">
                  <c:v>0.33833478671168399</c:v>
                </c:pt>
                <c:pt idx="87">
                  <c:v>0.45311176157551736</c:v>
                </c:pt>
                <c:pt idx="88">
                  <c:v>0.5413179707015815</c:v>
                </c:pt>
                <c:pt idx="89">
                  <c:v>0.54179508105112595</c:v>
                </c:pt>
                <c:pt idx="90">
                  <c:v>0.57995608578693048</c:v>
                </c:pt>
                <c:pt idx="91">
                  <c:v>0.5857735287916026</c:v>
                </c:pt>
                <c:pt idx="92">
                  <c:v>0.59001196486231877</c:v>
                </c:pt>
                <c:pt idx="93">
                  <c:v>0.59369141969638195</c:v>
                </c:pt>
                <c:pt idx="94">
                  <c:v>0.80446491669189824</c:v>
                </c:pt>
                <c:pt idx="95">
                  <c:v>0.80478246859305735</c:v>
                </c:pt>
                <c:pt idx="96">
                  <c:v>0.93544609091389641</c:v>
                </c:pt>
                <c:pt idx="97">
                  <c:v>1.1804011632122084</c:v>
                </c:pt>
                <c:pt idx="98">
                  <c:v>1.2175058186085204</c:v>
                </c:pt>
              </c:numCache>
            </c:numRef>
          </c:xVal>
          <c:yVal>
            <c:numRef>
              <c:f>'Dec 4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412B-4E3B-A3A8-16F5940681C6}"/>
            </c:ext>
          </c:extLst>
        </c:ser>
        <c:dLbls>
          <c:showLegendKey val="0"/>
          <c:showVal val="0"/>
          <c:showCatName val="0"/>
          <c:showSerName val="0"/>
          <c:showPercent val="0"/>
          <c:showBubbleSize val="0"/>
        </c:dLbls>
        <c:axId val="1497879920"/>
        <c:axId val="1497878000"/>
      </c:scatterChart>
      <c:valAx>
        <c:axId val="149787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497878000"/>
        <c:crosses val="autoZero"/>
        <c:crossBetween val="midCat"/>
      </c:valAx>
      <c:valAx>
        <c:axId val="14978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79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Rank</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5 Test'!$E$1:$E$2</c:f>
              <c:strCache>
                <c:ptCount val="2"/>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19050" cap="rnd">
                <a:solidFill>
                  <a:srgbClr val="FF0000"/>
                </a:solidFill>
              </a:ln>
              <a:effectLst/>
            </c:spPr>
            <c:trendlineType val="linear"/>
            <c:dispRSqr val="0"/>
            <c:dispEq val="0"/>
          </c:trendline>
          <c:xVal>
            <c:numRef>
              <c:f>'Dec 5 Test'!$B$4:$B$103</c:f>
              <c:numCache>
                <c:formatCode>General</c:formatCode>
                <c:ptCount val="100"/>
                <c:pt idx="0">
                  <c:v>-1.0905607891576288</c:v>
                </c:pt>
                <c:pt idx="1">
                  <c:v>-0.9949119503423598</c:v>
                </c:pt>
                <c:pt idx="2">
                  <c:v>-0.79201989867481848</c:v>
                </c:pt>
                <c:pt idx="3">
                  <c:v>-0.76937832813319984</c:v>
                </c:pt>
                <c:pt idx="4">
                  <c:v>-0.74866623300503232</c:v>
                </c:pt>
                <c:pt idx="5">
                  <c:v>-0.73068706709406017</c:v>
                </c:pt>
                <c:pt idx="6">
                  <c:v>-0.72820664373578636</c:v>
                </c:pt>
                <c:pt idx="7">
                  <c:v>-0.69957781282575293</c:v>
                </c:pt>
                <c:pt idx="8">
                  <c:v>-0.69020750564133149</c:v>
                </c:pt>
                <c:pt idx="9">
                  <c:v>-0.6879148928822898</c:v>
                </c:pt>
                <c:pt idx="10">
                  <c:v>-0.66539778129138538</c:v>
                </c:pt>
                <c:pt idx="11">
                  <c:v>-0.66265677356194652</c:v>
                </c:pt>
                <c:pt idx="12">
                  <c:v>-0.65692711870737663</c:v>
                </c:pt>
                <c:pt idx="13">
                  <c:v>-0.64119250493319191</c:v>
                </c:pt>
                <c:pt idx="14">
                  <c:v>-0.63965001647824038</c:v>
                </c:pt>
                <c:pt idx="15">
                  <c:v>-0.59704277078521484</c:v>
                </c:pt>
                <c:pt idx="16">
                  <c:v>-0.59467473327075182</c:v>
                </c:pt>
                <c:pt idx="17">
                  <c:v>-0.59052200252941911</c:v>
                </c:pt>
                <c:pt idx="18">
                  <c:v>-0.56764644753705606</c:v>
                </c:pt>
                <c:pt idx="19">
                  <c:v>-0.5645903907801666</c:v>
                </c:pt>
                <c:pt idx="20">
                  <c:v>-0.56180493236451934</c:v>
                </c:pt>
                <c:pt idx="21">
                  <c:v>-0.53145359156195815</c:v>
                </c:pt>
                <c:pt idx="22">
                  <c:v>-0.50009177156302087</c:v>
                </c:pt>
                <c:pt idx="23">
                  <c:v>-0.47906374845489408</c:v>
                </c:pt>
                <c:pt idx="24">
                  <c:v>-0.47463835300427826</c:v>
                </c:pt>
                <c:pt idx="25">
                  <c:v>-0.46398179692724134</c:v>
                </c:pt>
                <c:pt idx="26">
                  <c:v>-0.41846068602304892</c:v>
                </c:pt>
                <c:pt idx="27">
                  <c:v>-0.40174254545009497</c:v>
                </c:pt>
                <c:pt idx="28">
                  <c:v>-0.39488428298897843</c:v>
                </c:pt>
                <c:pt idx="29">
                  <c:v>-0.3746323603982934</c:v>
                </c:pt>
                <c:pt idx="30">
                  <c:v>-0.36689412521465103</c:v>
                </c:pt>
                <c:pt idx="31">
                  <c:v>-0.35002283265835543</c:v>
                </c:pt>
                <c:pt idx="32">
                  <c:v>-0.3416061928503637</c:v>
                </c:pt>
                <c:pt idx="33">
                  <c:v>-0.32927380759079322</c:v>
                </c:pt>
                <c:pt idx="34">
                  <c:v>-0.32289897157637437</c:v>
                </c:pt>
                <c:pt idx="35">
                  <c:v>-0.31720151546790976</c:v>
                </c:pt>
                <c:pt idx="36">
                  <c:v>-0.31626812130468479</c:v>
                </c:pt>
                <c:pt idx="37">
                  <c:v>-0.31191738961764515</c:v>
                </c:pt>
                <c:pt idx="38">
                  <c:v>-0.29815808811966943</c:v>
                </c:pt>
                <c:pt idx="39">
                  <c:v>-0.29130328781166132</c:v>
                </c:pt>
                <c:pt idx="40">
                  <c:v>-0.28700896570562973</c:v>
                </c:pt>
                <c:pt idx="41">
                  <c:v>-0.27786640413055114</c:v>
                </c:pt>
                <c:pt idx="42">
                  <c:v>-0.26702882664197186</c:v>
                </c:pt>
                <c:pt idx="43">
                  <c:v>-0.26067020020498322</c:v>
                </c:pt>
                <c:pt idx="44">
                  <c:v>-0.25739343951408333</c:v>
                </c:pt>
                <c:pt idx="45">
                  <c:v>-0.25474258340998246</c:v>
                </c:pt>
                <c:pt idx="46">
                  <c:v>-0.25216822122982613</c:v>
                </c:pt>
                <c:pt idx="47">
                  <c:v>-0.21830029881929525</c:v>
                </c:pt>
                <c:pt idx="48">
                  <c:v>-0.21735533540360855</c:v>
                </c:pt>
                <c:pt idx="49">
                  <c:v>-0.21594576762181972</c:v>
                </c:pt>
                <c:pt idx="50">
                  <c:v>-0.20747076360760525</c:v>
                </c:pt>
                <c:pt idx="51">
                  <c:v>-0.20335317899508276</c:v>
                </c:pt>
                <c:pt idx="52">
                  <c:v>-0.19870218979694093</c:v>
                </c:pt>
                <c:pt idx="53">
                  <c:v>-0.18872642423703687</c:v>
                </c:pt>
                <c:pt idx="54">
                  <c:v>-0.15593944538154192</c:v>
                </c:pt>
                <c:pt idx="55">
                  <c:v>-0.14534605454909469</c:v>
                </c:pt>
                <c:pt idx="56">
                  <c:v>-0.12692015225791139</c:v>
                </c:pt>
                <c:pt idx="57">
                  <c:v>-0.11971189470953102</c:v>
                </c:pt>
                <c:pt idx="58">
                  <c:v>-0.11847277347083017</c:v>
                </c:pt>
                <c:pt idx="59">
                  <c:v>-0.1182060000932309</c:v>
                </c:pt>
                <c:pt idx="60">
                  <c:v>-0.11196225929238871</c:v>
                </c:pt>
                <c:pt idx="61">
                  <c:v>-9.7422108356305603E-2</c:v>
                </c:pt>
                <c:pt idx="62">
                  <c:v>-9.1749127882761239E-2</c:v>
                </c:pt>
                <c:pt idx="63">
                  <c:v>-8.1613607557587745E-2</c:v>
                </c:pt>
                <c:pt idx="64">
                  <c:v>-7.6669403666469543E-2</c:v>
                </c:pt>
                <c:pt idx="65">
                  <c:v>-6.9083232712261147E-2</c:v>
                </c:pt>
                <c:pt idx="66">
                  <c:v>-3.8072652427267963E-2</c:v>
                </c:pt>
                <c:pt idx="67">
                  <c:v>-2.0090468718547437E-2</c:v>
                </c:pt>
                <c:pt idx="68">
                  <c:v>-1.5477155651302891E-2</c:v>
                </c:pt>
                <c:pt idx="69">
                  <c:v>-1.1911663008212413E-2</c:v>
                </c:pt>
                <c:pt idx="70">
                  <c:v>3.5444360933194599E-2</c:v>
                </c:pt>
                <c:pt idx="71">
                  <c:v>3.8720588111598959E-2</c:v>
                </c:pt>
                <c:pt idx="72">
                  <c:v>8.0187312602355176E-2</c:v>
                </c:pt>
                <c:pt idx="73">
                  <c:v>0.11121037183584638</c:v>
                </c:pt>
                <c:pt idx="74">
                  <c:v>0.11978103831905659</c:v>
                </c:pt>
                <c:pt idx="75">
                  <c:v>0.13824775309069876</c:v>
                </c:pt>
                <c:pt idx="76">
                  <c:v>0.1488854140401166</c:v>
                </c:pt>
                <c:pt idx="77">
                  <c:v>0.14919556636185308</c:v>
                </c:pt>
                <c:pt idx="78">
                  <c:v>0.16699639069120875</c:v>
                </c:pt>
                <c:pt idx="79">
                  <c:v>0.18595660864699909</c:v>
                </c:pt>
                <c:pt idx="80">
                  <c:v>0.22766929467060426</c:v>
                </c:pt>
                <c:pt idx="81">
                  <c:v>0.2579313767998736</c:v>
                </c:pt>
                <c:pt idx="82">
                  <c:v>0.26979810335322024</c:v>
                </c:pt>
                <c:pt idx="83">
                  <c:v>0.30472353830663262</c:v>
                </c:pt>
                <c:pt idx="84">
                  <c:v>0.30737439954747015</c:v>
                </c:pt>
                <c:pt idx="85">
                  <c:v>0.32699172395762199</c:v>
                </c:pt>
                <c:pt idx="86">
                  <c:v>0.34467422247066642</c:v>
                </c:pt>
                <c:pt idx="87">
                  <c:v>0.39040561434837506</c:v>
                </c:pt>
                <c:pt idx="88">
                  <c:v>0.4269395397747085</c:v>
                </c:pt>
                <c:pt idx="89">
                  <c:v>0.4359296489119841</c:v>
                </c:pt>
                <c:pt idx="90">
                  <c:v>0.50430239368864604</c:v>
                </c:pt>
                <c:pt idx="91">
                  <c:v>0.54468197442012123</c:v>
                </c:pt>
                <c:pt idx="92">
                  <c:v>0.55465493178261205</c:v>
                </c:pt>
                <c:pt idx="93">
                  <c:v>0.62619508242064592</c:v>
                </c:pt>
                <c:pt idx="94">
                  <c:v>0.79123078359539534</c:v>
                </c:pt>
                <c:pt idx="95">
                  <c:v>0.8459541008037037</c:v>
                </c:pt>
                <c:pt idx="96">
                  <c:v>0.98236682034900447</c:v>
                </c:pt>
                <c:pt idx="97">
                  <c:v>1.1277179138067635</c:v>
                </c:pt>
                <c:pt idx="98">
                  <c:v>1.1491596382413256</c:v>
                </c:pt>
              </c:numCache>
            </c:numRef>
          </c:xVal>
          <c:yVal>
            <c:numRef>
              <c:f>'Dec 5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354A-4ED8-B5C0-5478165B5F69}"/>
            </c:ext>
          </c:extLst>
        </c:ser>
        <c:dLbls>
          <c:showLegendKey val="0"/>
          <c:showVal val="0"/>
          <c:showCatName val="0"/>
          <c:showSerName val="0"/>
          <c:showPercent val="0"/>
          <c:showBubbleSize val="0"/>
        </c:dLbls>
        <c:axId val="1849925775"/>
        <c:axId val="1849926255"/>
      </c:scatterChart>
      <c:valAx>
        <c:axId val="1849925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849926255"/>
        <c:crosses val="autoZero"/>
        <c:crossBetween val="midCat"/>
      </c:valAx>
      <c:valAx>
        <c:axId val="184992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92577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6 Test'!$E$1:$E$2</c:f>
              <c:strCache>
                <c:ptCount val="2"/>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0"/>
            <c:dispEq val="0"/>
          </c:trendline>
          <c:xVal>
            <c:numRef>
              <c:f>'Dec 6 Test'!$B$4:$B$103</c:f>
              <c:numCache>
                <c:formatCode>General</c:formatCode>
                <c:ptCount val="100"/>
                <c:pt idx="0">
                  <c:v>-0.94641494392970682</c:v>
                </c:pt>
                <c:pt idx="1">
                  <c:v>-0.77116277754468421</c:v>
                </c:pt>
                <c:pt idx="2">
                  <c:v>-0.75304581596829667</c:v>
                </c:pt>
                <c:pt idx="3">
                  <c:v>-0.70917494163714256</c:v>
                </c:pt>
                <c:pt idx="4">
                  <c:v>-0.68920296919822355</c:v>
                </c:pt>
                <c:pt idx="5">
                  <c:v>-0.67026303152274813</c:v>
                </c:pt>
                <c:pt idx="6">
                  <c:v>-0.66800393781127954</c:v>
                </c:pt>
                <c:pt idx="7">
                  <c:v>-0.65712581062078712</c:v>
                </c:pt>
                <c:pt idx="8">
                  <c:v>-0.65630043688985196</c:v>
                </c:pt>
                <c:pt idx="9">
                  <c:v>-0.64001976919373582</c:v>
                </c:pt>
                <c:pt idx="10">
                  <c:v>-0.62800946397582635</c:v>
                </c:pt>
                <c:pt idx="11">
                  <c:v>-0.61001816351954208</c:v>
                </c:pt>
                <c:pt idx="12">
                  <c:v>-0.59288021503187305</c:v>
                </c:pt>
                <c:pt idx="13">
                  <c:v>-0.58294122303899543</c:v>
                </c:pt>
                <c:pt idx="14">
                  <c:v>-0.57281805560819765</c:v>
                </c:pt>
                <c:pt idx="15">
                  <c:v>-0.57228090298277934</c:v>
                </c:pt>
                <c:pt idx="16">
                  <c:v>-0.55030650409314974</c:v>
                </c:pt>
                <c:pt idx="17">
                  <c:v>-0.53695572738503494</c:v>
                </c:pt>
                <c:pt idx="18">
                  <c:v>-0.53635883956426256</c:v>
                </c:pt>
                <c:pt idx="19">
                  <c:v>-0.52578698890615094</c:v>
                </c:pt>
                <c:pt idx="20">
                  <c:v>-0.52501921117897232</c:v>
                </c:pt>
                <c:pt idx="21">
                  <c:v>-0.50461329364302865</c:v>
                </c:pt>
                <c:pt idx="22">
                  <c:v>-0.48681128993514522</c:v>
                </c:pt>
                <c:pt idx="23">
                  <c:v>-0.47679463602307398</c:v>
                </c:pt>
                <c:pt idx="24">
                  <c:v>-0.47355392409075669</c:v>
                </c:pt>
                <c:pt idx="25">
                  <c:v>-0.47000682925085546</c:v>
                </c:pt>
                <c:pt idx="26">
                  <c:v>-0.46749637503612063</c:v>
                </c:pt>
                <c:pt idx="27">
                  <c:v>-0.4633871663915014</c:v>
                </c:pt>
                <c:pt idx="28">
                  <c:v>-0.45295931239648407</c:v>
                </c:pt>
                <c:pt idx="29">
                  <c:v>-0.45157449377736836</c:v>
                </c:pt>
                <c:pt idx="30">
                  <c:v>-0.44227329374762825</c:v>
                </c:pt>
                <c:pt idx="31">
                  <c:v>-0.41050981125289848</c:v>
                </c:pt>
                <c:pt idx="32">
                  <c:v>-0.37736902560517088</c:v>
                </c:pt>
                <c:pt idx="33">
                  <c:v>-0.35764112482691485</c:v>
                </c:pt>
                <c:pt idx="34">
                  <c:v>-0.33124253537848225</c:v>
                </c:pt>
                <c:pt idx="35">
                  <c:v>-0.32876660143119157</c:v>
                </c:pt>
                <c:pt idx="36">
                  <c:v>-0.32724513753413031</c:v>
                </c:pt>
                <c:pt idx="37">
                  <c:v>-0.31750917734993089</c:v>
                </c:pt>
                <c:pt idx="38">
                  <c:v>-0.3138426286109714</c:v>
                </c:pt>
                <c:pt idx="39">
                  <c:v>-0.30581617251404081</c:v>
                </c:pt>
                <c:pt idx="40">
                  <c:v>-0.29694753121671991</c:v>
                </c:pt>
                <c:pt idx="41">
                  <c:v>-0.28400749864171021</c:v>
                </c:pt>
                <c:pt idx="42">
                  <c:v>-0.27739252521160473</c:v>
                </c:pt>
                <c:pt idx="43">
                  <c:v>-0.27462896941949771</c:v>
                </c:pt>
                <c:pt idx="44">
                  <c:v>-0.27260168852797051</c:v>
                </c:pt>
                <c:pt idx="45">
                  <c:v>-0.2575098661479715</c:v>
                </c:pt>
                <c:pt idx="46">
                  <c:v>-0.24103261064995016</c:v>
                </c:pt>
                <c:pt idx="47">
                  <c:v>-0.23853514653256536</c:v>
                </c:pt>
                <c:pt idx="48">
                  <c:v>-0.23661133616177984</c:v>
                </c:pt>
                <c:pt idx="49">
                  <c:v>-0.21769218703732343</c:v>
                </c:pt>
                <c:pt idx="50">
                  <c:v>-0.20172580745264534</c:v>
                </c:pt>
                <c:pt idx="51">
                  <c:v>-0.18907068098107432</c:v>
                </c:pt>
                <c:pt idx="52">
                  <c:v>-0.1811706193765967</c:v>
                </c:pt>
                <c:pt idx="53">
                  <c:v>-0.15064383599821884</c:v>
                </c:pt>
                <c:pt idx="54">
                  <c:v>-0.14202795785005717</c:v>
                </c:pt>
                <c:pt idx="55">
                  <c:v>-0.13464057897289722</c:v>
                </c:pt>
                <c:pt idx="56">
                  <c:v>-0.11709689610397299</c:v>
                </c:pt>
                <c:pt idx="57">
                  <c:v>-0.11315190093428126</c:v>
                </c:pt>
                <c:pt idx="58">
                  <c:v>-0.10903615142697941</c:v>
                </c:pt>
                <c:pt idx="59">
                  <c:v>-9.6645270641603123E-2</c:v>
                </c:pt>
                <c:pt idx="60">
                  <c:v>-9.4500807434526948E-2</c:v>
                </c:pt>
                <c:pt idx="61">
                  <c:v>-8.2959958715567217E-2</c:v>
                </c:pt>
                <c:pt idx="62">
                  <c:v>-6.0488068640244259E-2</c:v>
                </c:pt>
                <c:pt idx="63">
                  <c:v>-6.0020741688747582E-2</c:v>
                </c:pt>
                <c:pt idx="64">
                  <c:v>-5.0448388263381425E-2</c:v>
                </c:pt>
                <c:pt idx="65">
                  <c:v>-5.0184435714417663E-2</c:v>
                </c:pt>
                <c:pt idx="66">
                  <c:v>-3.8973703662637547E-2</c:v>
                </c:pt>
                <c:pt idx="67">
                  <c:v>-2.6364509431328505E-2</c:v>
                </c:pt>
                <c:pt idx="68">
                  <c:v>-1.5370523594254219E-2</c:v>
                </c:pt>
                <c:pt idx="69">
                  <c:v>5.3158458222358511E-3</c:v>
                </c:pt>
                <c:pt idx="70">
                  <c:v>2.4097313483793976E-2</c:v>
                </c:pt>
                <c:pt idx="71">
                  <c:v>3.224451287822247E-2</c:v>
                </c:pt>
                <c:pt idx="72">
                  <c:v>4.1228311962142078E-2</c:v>
                </c:pt>
                <c:pt idx="73">
                  <c:v>4.9380466097437722E-2</c:v>
                </c:pt>
                <c:pt idx="74">
                  <c:v>6.6190281230472672E-2</c:v>
                </c:pt>
                <c:pt idx="75">
                  <c:v>7.2757775333813293E-2</c:v>
                </c:pt>
                <c:pt idx="76">
                  <c:v>8.0860834454997657E-2</c:v>
                </c:pt>
                <c:pt idx="77">
                  <c:v>8.8898761425217229E-2</c:v>
                </c:pt>
                <c:pt idx="78">
                  <c:v>0.10088551777385854</c:v>
                </c:pt>
                <c:pt idx="79">
                  <c:v>0.11066442502972347</c:v>
                </c:pt>
                <c:pt idx="80">
                  <c:v>0.17062002681961372</c:v>
                </c:pt>
                <c:pt idx="81">
                  <c:v>0.18306294856181288</c:v>
                </c:pt>
                <c:pt idx="82">
                  <c:v>0.2158208053343583</c:v>
                </c:pt>
                <c:pt idx="83">
                  <c:v>0.31854827210394027</c:v>
                </c:pt>
                <c:pt idx="84">
                  <c:v>0.3201613631937078</c:v>
                </c:pt>
                <c:pt idx="85">
                  <c:v>0.32255440276936065</c:v>
                </c:pt>
                <c:pt idx="86">
                  <c:v>0.32525238598299006</c:v>
                </c:pt>
                <c:pt idx="87">
                  <c:v>0.34486548597923472</c:v>
                </c:pt>
                <c:pt idx="88">
                  <c:v>0.40685081424046698</c:v>
                </c:pt>
                <c:pt idx="89">
                  <c:v>0.45594273659737955</c:v>
                </c:pt>
                <c:pt idx="90">
                  <c:v>0.52294587586398622</c:v>
                </c:pt>
                <c:pt idx="91">
                  <c:v>0.56534789937806951</c:v>
                </c:pt>
                <c:pt idx="92">
                  <c:v>0.56771433457267895</c:v>
                </c:pt>
                <c:pt idx="93">
                  <c:v>0.71474231799653498</c:v>
                </c:pt>
                <c:pt idx="94">
                  <c:v>0.82411403757230495</c:v>
                </c:pt>
                <c:pt idx="95">
                  <c:v>0.9255477531368318</c:v>
                </c:pt>
                <c:pt idx="96">
                  <c:v>0.93456670422939858</c:v>
                </c:pt>
                <c:pt idx="97">
                  <c:v>1.1974948677276969</c:v>
                </c:pt>
                <c:pt idx="98">
                  <c:v>1.3545043716302607</c:v>
                </c:pt>
              </c:numCache>
            </c:numRef>
          </c:xVal>
          <c:yVal>
            <c:numRef>
              <c:f>'Dec 6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26FD-41BA-95E5-E20B08FB3F1A}"/>
            </c:ext>
          </c:extLst>
        </c:ser>
        <c:dLbls>
          <c:showLegendKey val="0"/>
          <c:showVal val="0"/>
          <c:showCatName val="0"/>
          <c:showSerName val="0"/>
          <c:showPercent val="0"/>
          <c:showBubbleSize val="0"/>
        </c:dLbls>
        <c:axId val="1839508815"/>
        <c:axId val="1839505455"/>
      </c:scatterChart>
      <c:valAx>
        <c:axId val="183950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05455"/>
        <c:crosses val="autoZero"/>
        <c:crossBetween val="midCat"/>
      </c:valAx>
      <c:valAx>
        <c:axId val="18395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0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7 Test'!$E$1:$E$2</c:f>
              <c:strCache>
                <c:ptCount val="2"/>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0"/>
            <c:dispEq val="0"/>
          </c:trendline>
          <c:xVal>
            <c:numRef>
              <c:f>'Dec 7 Test'!$B$4:$B$103</c:f>
              <c:numCache>
                <c:formatCode>General</c:formatCode>
                <c:ptCount val="100"/>
                <c:pt idx="0">
                  <c:v>-0.99859683242323194</c:v>
                </c:pt>
                <c:pt idx="1">
                  <c:v>-0.7515435368050879</c:v>
                </c:pt>
                <c:pt idx="2">
                  <c:v>-0.74929222567852027</c:v>
                </c:pt>
                <c:pt idx="3">
                  <c:v>-0.73033412322715585</c:v>
                </c:pt>
                <c:pt idx="4">
                  <c:v>-0.70495056726108363</c:v>
                </c:pt>
                <c:pt idx="5">
                  <c:v>-0.69064032534876452</c:v>
                </c:pt>
                <c:pt idx="6">
                  <c:v>-0.65716632546803733</c:v>
                </c:pt>
                <c:pt idx="7">
                  <c:v>-0.65509253161073888</c:v>
                </c:pt>
                <c:pt idx="8">
                  <c:v>-0.64548145786174904</c:v>
                </c:pt>
                <c:pt idx="9">
                  <c:v>-0.63142386840719356</c:v>
                </c:pt>
                <c:pt idx="10">
                  <c:v>-0.598486302415418</c:v>
                </c:pt>
                <c:pt idx="11">
                  <c:v>-0.59744435058006373</c:v>
                </c:pt>
                <c:pt idx="12">
                  <c:v>-0.56395217649256868</c:v>
                </c:pt>
                <c:pt idx="13">
                  <c:v>-0.55329306851949722</c:v>
                </c:pt>
                <c:pt idx="14">
                  <c:v>-0.53974649619469983</c:v>
                </c:pt>
                <c:pt idx="15">
                  <c:v>-0.53111677036829796</c:v>
                </c:pt>
                <c:pt idx="16">
                  <c:v>-0.51732167750969293</c:v>
                </c:pt>
                <c:pt idx="17">
                  <c:v>-0.50872782568384456</c:v>
                </c:pt>
                <c:pt idx="18">
                  <c:v>-0.47248189761752379</c:v>
                </c:pt>
                <c:pt idx="19">
                  <c:v>-0.47194791815101839</c:v>
                </c:pt>
                <c:pt idx="20">
                  <c:v>-0.46585066475295472</c:v>
                </c:pt>
                <c:pt idx="21">
                  <c:v>-0.46326955411137233</c:v>
                </c:pt>
                <c:pt idx="22">
                  <c:v>-0.46289932468407358</c:v>
                </c:pt>
                <c:pt idx="23">
                  <c:v>-0.42588110347608538</c:v>
                </c:pt>
                <c:pt idx="24">
                  <c:v>-0.42158381936327255</c:v>
                </c:pt>
                <c:pt idx="25">
                  <c:v>-0.41987341096905667</c:v>
                </c:pt>
                <c:pt idx="26">
                  <c:v>-0.38443382415509347</c:v>
                </c:pt>
                <c:pt idx="27">
                  <c:v>-0.37861093094365111</c:v>
                </c:pt>
                <c:pt idx="28">
                  <c:v>-0.37544136542449097</c:v>
                </c:pt>
                <c:pt idx="29">
                  <c:v>-0.3734040991926173</c:v>
                </c:pt>
                <c:pt idx="30">
                  <c:v>-0.36798436937124596</c:v>
                </c:pt>
                <c:pt idx="31">
                  <c:v>-0.33713285478134691</c:v>
                </c:pt>
                <c:pt idx="32">
                  <c:v>-0.31630104980045909</c:v>
                </c:pt>
                <c:pt idx="33">
                  <c:v>-0.30489876615813588</c:v>
                </c:pt>
                <c:pt idx="34">
                  <c:v>-0.29230340102696351</c:v>
                </c:pt>
                <c:pt idx="35">
                  <c:v>-0.28776207565195155</c:v>
                </c:pt>
                <c:pt idx="36">
                  <c:v>-0.28061642635660589</c:v>
                </c:pt>
                <c:pt idx="37">
                  <c:v>-0.2725741079911595</c:v>
                </c:pt>
                <c:pt idx="38">
                  <c:v>-0.27198721691481781</c:v>
                </c:pt>
                <c:pt idx="39">
                  <c:v>-0.2689911740082917</c:v>
                </c:pt>
                <c:pt idx="40">
                  <c:v>-0.26597015789397999</c:v>
                </c:pt>
                <c:pt idx="41">
                  <c:v>-0.25635008594950892</c:v>
                </c:pt>
                <c:pt idx="42">
                  <c:v>-0.213541053225072</c:v>
                </c:pt>
                <c:pt idx="43">
                  <c:v>-0.21037294375700871</c:v>
                </c:pt>
                <c:pt idx="44">
                  <c:v>-0.20993862142872849</c:v>
                </c:pt>
                <c:pt idx="45">
                  <c:v>-0.19576673953384177</c:v>
                </c:pt>
                <c:pt idx="46">
                  <c:v>-0.16638876058577778</c:v>
                </c:pt>
                <c:pt idx="47">
                  <c:v>-0.16053736468301216</c:v>
                </c:pt>
                <c:pt idx="48">
                  <c:v>-0.15994811921706237</c:v>
                </c:pt>
                <c:pt idx="49">
                  <c:v>-0.13886674318554601</c:v>
                </c:pt>
                <c:pt idx="50">
                  <c:v>-0.125878465402783</c:v>
                </c:pt>
                <c:pt idx="51">
                  <c:v>-0.12041775347913958</c:v>
                </c:pt>
                <c:pt idx="52">
                  <c:v>-0.11504167163069205</c:v>
                </c:pt>
                <c:pt idx="53">
                  <c:v>-0.10563388635352354</c:v>
                </c:pt>
                <c:pt idx="54">
                  <c:v>-0.10343348468634975</c:v>
                </c:pt>
                <c:pt idx="55">
                  <c:v>-0.10188544958908524</c:v>
                </c:pt>
                <c:pt idx="56">
                  <c:v>-0.10005019595229432</c:v>
                </c:pt>
                <c:pt idx="57">
                  <c:v>-9.7610623797766818E-2</c:v>
                </c:pt>
                <c:pt idx="58">
                  <c:v>-8.9269561132932551E-2</c:v>
                </c:pt>
                <c:pt idx="59">
                  <c:v>-7.3157962017823847E-2</c:v>
                </c:pt>
                <c:pt idx="60">
                  <c:v>-7.223311541190372E-2</c:v>
                </c:pt>
                <c:pt idx="61">
                  <c:v>-6.8169639007242711E-2</c:v>
                </c:pt>
                <c:pt idx="62">
                  <c:v>-6.1704141788504266E-2</c:v>
                </c:pt>
                <c:pt idx="63">
                  <c:v>-5.9659774930927986E-2</c:v>
                </c:pt>
                <c:pt idx="64">
                  <c:v>-5.1539640517740661E-2</c:v>
                </c:pt>
                <c:pt idx="65">
                  <c:v>-4.723627208531251E-2</c:v>
                </c:pt>
                <c:pt idx="66">
                  <c:v>-4.4522583260377828E-2</c:v>
                </c:pt>
                <c:pt idx="67">
                  <c:v>-1.4866967728000308E-2</c:v>
                </c:pt>
                <c:pt idx="68">
                  <c:v>-4.3856027125532653E-3</c:v>
                </c:pt>
                <c:pt idx="69">
                  <c:v>1.7574657016510519E-2</c:v>
                </c:pt>
                <c:pt idx="70">
                  <c:v>3.3763542152805269E-2</c:v>
                </c:pt>
                <c:pt idx="71">
                  <c:v>4.54990400712183E-2</c:v>
                </c:pt>
                <c:pt idx="72">
                  <c:v>6.1875603718067523E-2</c:v>
                </c:pt>
                <c:pt idx="73">
                  <c:v>6.5066506728644669E-2</c:v>
                </c:pt>
                <c:pt idx="74">
                  <c:v>0.11689375147149943</c:v>
                </c:pt>
                <c:pt idx="75">
                  <c:v>0.12835803385052519</c:v>
                </c:pt>
                <c:pt idx="76">
                  <c:v>0.1486182613262815</c:v>
                </c:pt>
                <c:pt idx="77">
                  <c:v>0.16557375875198937</c:v>
                </c:pt>
                <c:pt idx="78">
                  <c:v>0.18528383158906764</c:v>
                </c:pt>
                <c:pt idx="79">
                  <c:v>0.1881130867940761</c:v>
                </c:pt>
                <c:pt idx="80">
                  <c:v>0.19600254384981861</c:v>
                </c:pt>
                <c:pt idx="81">
                  <c:v>0.27047741750106291</c:v>
                </c:pt>
                <c:pt idx="82">
                  <c:v>0.30315918169808281</c:v>
                </c:pt>
                <c:pt idx="83">
                  <c:v>0.33117968431339534</c:v>
                </c:pt>
                <c:pt idx="84">
                  <c:v>0.34461045983767319</c:v>
                </c:pt>
                <c:pt idx="85">
                  <c:v>0.35142418278844334</c:v>
                </c:pt>
                <c:pt idx="86">
                  <c:v>0.39068305660325647</c:v>
                </c:pt>
                <c:pt idx="87">
                  <c:v>0.42523505513178766</c:v>
                </c:pt>
                <c:pt idx="88">
                  <c:v>0.48855547464026267</c:v>
                </c:pt>
                <c:pt idx="89">
                  <c:v>0.53401075922002794</c:v>
                </c:pt>
                <c:pt idx="90">
                  <c:v>0.65607336118011428</c:v>
                </c:pt>
                <c:pt idx="91">
                  <c:v>0.68433849777855016</c:v>
                </c:pt>
                <c:pt idx="92">
                  <c:v>0.70231007275177981</c:v>
                </c:pt>
                <c:pt idx="93">
                  <c:v>0.77385582029765065</c:v>
                </c:pt>
                <c:pt idx="94">
                  <c:v>0.92601925595180101</c:v>
                </c:pt>
                <c:pt idx="95">
                  <c:v>0.94309623269448584</c:v>
                </c:pt>
                <c:pt idx="96">
                  <c:v>1.1024515758308282</c:v>
                </c:pt>
                <c:pt idx="97">
                  <c:v>1.2883093571608919</c:v>
                </c:pt>
                <c:pt idx="98">
                  <c:v>1.3089596501778953</c:v>
                </c:pt>
              </c:numCache>
            </c:numRef>
          </c:xVal>
          <c:yVal>
            <c:numRef>
              <c:f>'Dec 7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7AED-477A-9498-015FB0D72760}"/>
            </c:ext>
          </c:extLst>
        </c:ser>
        <c:dLbls>
          <c:showLegendKey val="0"/>
          <c:showVal val="0"/>
          <c:showCatName val="0"/>
          <c:showSerName val="0"/>
          <c:showPercent val="0"/>
          <c:showBubbleSize val="0"/>
        </c:dLbls>
        <c:axId val="203035824"/>
        <c:axId val="203036784"/>
      </c:scatterChart>
      <c:valAx>
        <c:axId val="203035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6784"/>
        <c:crosses val="autoZero"/>
        <c:crossBetween val="midCat"/>
      </c:valAx>
      <c:valAx>
        <c:axId val="20303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35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8 Test'!$E$1:$E$2</c:f>
              <c:strCache>
                <c:ptCount val="2"/>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0"/>
            <c:dispEq val="0"/>
          </c:trendline>
          <c:xVal>
            <c:numRef>
              <c:f>'Dec 8 Test'!$B$4:$B$103</c:f>
              <c:numCache>
                <c:formatCode>General</c:formatCode>
                <c:ptCount val="100"/>
                <c:pt idx="0">
                  <c:v>-0.69897211258457481</c:v>
                </c:pt>
                <c:pt idx="1">
                  <c:v>-0.6893922391844538</c:v>
                </c:pt>
                <c:pt idx="2">
                  <c:v>-0.68107632732716916</c:v>
                </c:pt>
                <c:pt idx="3">
                  <c:v>-0.6590975065215896</c:v>
                </c:pt>
                <c:pt idx="4">
                  <c:v>-0.62475235453320266</c:v>
                </c:pt>
                <c:pt idx="5">
                  <c:v>-0.62275395669089662</c:v>
                </c:pt>
                <c:pt idx="6">
                  <c:v>-0.61222363017305137</c:v>
                </c:pt>
                <c:pt idx="7">
                  <c:v>-0.58756448958488272</c:v>
                </c:pt>
                <c:pt idx="8">
                  <c:v>-0.57785257180454497</c:v>
                </c:pt>
                <c:pt idx="9">
                  <c:v>-0.52051407224667412</c:v>
                </c:pt>
                <c:pt idx="10">
                  <c:v>-0.5018956152448607</c:v>
                </c:pt>
                <c:pt idx="11">
                  <c:v>-0.49987249555217422</c:v>
                </c:pt>
                <c:pt idx="12">
                  <c:v>-0.49405045040428858</c:v>
                </c:pt>
                <c:pt idx="13">
                  <c:v>-0.46128811987684792</c:v>
                </c:pt>
                <c:pt idx="14">
                  <c:v>-0.45649685775415438</c:v>
                </c:pt>
                <c:pt idx="15">
                  <c:v>-0.45271867844281577</c:v>
                </c:pt>
                <c:pt idx="16">
                  <c:v>-0.44976658651768298</c:v>
                </c:pt>
                <c:pt idx="17">
                  <c:v>-0.44768651885470495</c:v>
                </c:pt>
                <c:pt idx="18">
                  <c:v>-0.43834993544394107</c:v>
                </c:pt>
                <c:pt idx="19">
                  <c:v>-0.42835663113454936</c:v>
                </c:pt>
                <c:pt idx="20">
                  <c:v>-0.41958431666904783</c:v>
                </c:pt>
                <c:pt idx="21">
                  <c:v>-0.4130699517682227</c:v>
                </c:pt>
                <c:pt idx="22">
                  <c:v>-0.40685457296753091</c:v>
                </c:pt>
                <c:pt idx="23">
                  <c:v>-0.40491126150951084</c:v>
                </c:pt>
                <c:pt idx="24">
                  <c:v>-0.39946017386890564</c:v>
                </c:pt>
                <c:pt idx="25">
                  <c:v>-0.39671301961319561</c:v>
                </c:pt>
                <c:pt idx="26">
                  <c:v>-0.38878499785696596</c:v>
                </c:pt>
                <c:pt idx="27">
                  <c:v>-0.37504987659038458</c:v>
                </c:pt>
                <c:pt idx="28">
                  <c:v>-0.37292918848360457</c:v>
                </c:pt>
                <c:pt idx="29">
                  <c:v>-0.36277350240060185</c:v>
                </c:pt>
                <c:pt idx="30">
                  <c:v>-0.34761043671177277</c:v>
                </c:pt>
                <c:pt idx="31">
                  <c:v>-0.34759911133074434</c:v>
                </c:pt>
                <c:pt idx="32">
                  <c:v>-0.30562475052640109</c:v>
                </c:pt>
                <c:pt idx="33">
                  <c:v>-0.29186547736733343</c:v>
                </c:pt>
                <c:pt idx="34">
                  <c:v>-0.28992725766154276</c:v>
                </c:pt>
                <c:pt idx="35">
                  <c:v>-0.28758607705948608</c:v>
                </c:pt>
                <c:pt idx="36">
                  <c:v>-0.28556564699431136</c:v>
                </c:pt>
                <c:pt idx="37">
                  <c:v>-0.27369238603852875</c:v>
                </c:pt>
                <c:pt idx="38">
                  <c:v>-0.24792304267843263</c:v>
                </c:pt>
                <c:pt idx="39">
                  <c:v>-0.24730945888802461</c:v>
                </c:pt>
                <c:pt idx="40">
                  <c:v>-0.24407994608190178</c:v>
                </c:pt>
                <c:pt idx="41">
                  <c:v>-0.24362053093481648</c:v>
                </c:pt>
                <c:pt idx="42">
                  <c:v>-0.2422906934877096</c:v>
                </c:pt>
                <c:pt idx="43">
                  <c:v>-0.23321156409162391</c:v>
                </c:pt>
                <c:pt idx="44">
                  <c:v>-0.22645151660339713</c:v>
                </c:pt>
                <c:pt idx="45">
                  <c:v>-0.22036865490286861</c:v>
                </c:pt>
                <c:pt idx="46">
                  <c:v>-0.21997482702797591</c:v>
                </c:pt>
                <c:pt idx="47">
                  <c:v>-0.21386671453400063</c:v>
                </c:pt>
                <c:pt idx="48">
                  <c:v>-0.20493287677718311</c:v>
                </c:pt>
                <c:pt idx="49">
                  <c:v>-0.16810154214617543</c:v>
                </c:pt>
                <c:pt idx="50">
                  <c:v>-0.16608528137738332</c:v>
                </c:pt>
                <c:pt idx="51">
                  <c:v>-0.16252716482580279</c:v>
                </c:pt>
                <c:pt idx="52">
                  <c:v>-0.14309353597506666</c:v>
                </c:pt>
                <c:pt idx="53">
                  <c:v>-0.12036248457617367</c:v>
                </c:pt>
                <c:pt idx="54">
                  <c:v>-0.11948423187044861</c:v>
                </c:pt>
                <c:pt idx="55">
                  <c:v>-0.11725542486743779</c:v>
                </c:pt>
                <c:pt idx="56">
                  <c:v>-0.10678820098235399</c:v>
                </c:pt>
                <c:pt idx="57">
                  <c:v>-9.9432565170891954E-2</c:v>
                </c:pt>
                <c:pt idx="58">
                  <c:v>-8.2619942558808335E-2</c:v>
                </c:pt>
                <c:pt idx="59">
                  <c:v>-4.0379384153343391E-2</c:v>
                </c:pt>
                <c:pt idx="60">
                  <c:v>-2.800654761236147E-2</c:v>
                </c:pt>
                <c:pt idx="61">
                  <c:v>-2.3208239816940975E-2</c:v>
                </c:pt>
                <c:pt idx="62">
                  <c:v>-5.8390139107977477E-3</c:v>
                </c:pt>
                <c:pt idx="63">
                  <c:v>-2.8370205397547942E-3</c:v>
                </c:pt>
                <c:pt idx="64">
                  <c:v>1.5288307424907528E-3</c:v>
                </c:pt>
                <c:pt idx="65">
                  <c:v>6.637920180183437E-3</c:v>
                </c:pt>
                <c:pt idx="66">
                  <c:v>1.3814143833371003E-2</c:v>
                </c:pt>
                <c:pt idx="67">
                  <c:v>1.6611265805196906E-2</c:v>
                </c:pt>
                <c:pt idx="68">
                  <c:v>2.2759037120515007E-2</c:v>
                </c:pt>
                <c:pt idx="69">
                  <c:v>2.5463047436529967E-2</c:v>
                </c:pt>
                <c:pt idx="70">
                  <c:v>0.10426091131450356</c:v>
                </c:pt>
                <c:pt idx="71">
                  <c:v>0.12936020530570697</c:v>
                </c:pt>
                <c:pt idx="72">
                  <c:v>0.13564041706816146</c:v>
                </c:pt>
                <c:pt idx="73">
                  <c:v>0.13604198843977344</c:v>
                </c:pt>
                <c:pt idx="74">
                  <c:v>0.14992748898295069</c:v>
                </c:pt>
                <c:pt idx="75">
                  <c:v>0.16011855089275923</c:v>
                </c:pt>
                <c:pt idx="76">
                  <c:v>0.17885722960273681</c:v>
                </c:pt>
                <c:pt idx="77">
                  <c:v>0.1809956782052822</c:v>
                </c:pt>
                <c:pt idx="78">
                  <c:v>0.18554136763515283</c:v>
                </c:pt>
                <c:pt idx="79">
                  <c:v>0.22673708682433988</c:v>
                </c:pt>
                <c:pt idx="80">
                  <c:v>0.30358740928543632</c:v>
                </c:pt>
                <c:pt idx="81">
                  <c:v>0.31608729695694776</c:v>
                </c:pt>
                <c:pt idx="82">
                  <c:v>0.33955319986167043</c:v>
                </c:pt>
                <c:pt idx="83">
                  <c:v>0.39013486477653608</c:v>
                </c:pt>
                <c:pt idx="84">
                  <c:v>0.42396623522553145</c:v>
                </c:pt>
                <c:pt idx="85">
                  <c:v>0.43088591078831856</c:v>
                </c:pt>
                <c:pt idx="86">
                  <c:v>0.47630871038032968</c:v>
                </c:pt>
                <c:pt idx="87">
                  <c:v>0.52014407185497069</c:v>
                </c:pt>
                <c:pt idx="88">
                  <c:v>0.59906724369635</c:v>
                </c:pt>
                <c:pt idx="89">
                  <c:v>0.68032026630505182</c:v>
                </c:pt>
                <c:pt idx="90">
                  <c:v>0.76525851790720145</c:v>
                </c:pt>
                <c:pt idx="91">
                  <c:v>0.78033354223886131</c:v>
                </c:pt>
                <c:pt idx="92">
                  <c:v>0.81039229378421829</c:v>
                </c:pt>
                <c:pt idx="93">
                  <c:v>0.95493435546635952</c:v>
                </c:pt>
                <c:pt idx="94">
                  <c:v>0.96339948326104885</c:v>
                </c:pt>
                <c:pt idx="95">
                  <c:v>1.0425426936144964</c:v>
                </c:pt>
                <c:pt idx="96">
                  <c:v>1.2134190477523432</c:v>
                </c:pt>
                <c:pt idx="97">
                  <c:v>1.2946970301539706</c:v>
                </c:pt>
                <c:pt idx="98">
                  <c:v>1.3451754475235291</c:v>
                </c:pt>
              </c:numCache>
            </c:numRef>
          </c:xVal>
          <c:yVal>
            <c:numRef>
              <c:f>'Dec 8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106E-4932-A4CC-D780D59DE676}"/>
            </c:ext>
          </c:extLst>
        </c:ser>
        <c:dLbls>
          <c:showLegendKey val="0"/>
          <c:showVal val="0"/>
          <c:showCatName val="0"/>
          <c:showSerName val="0"/>
          <c:showPercent val="0"/>
          <c:showBubbleSize val="0"/>
        </c:dLbls>
        <c:axId val="1658271743"/>
        <c:axId val="1658270783"/>
      </c:scatterChart>
      <c:valAx>
        <c:axId val="165827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70783"/>
        <c:crosses val="autoZero"/>
        <c:crossBetween val="midCat"/>
      </c:valAx>
      <c:valAx>
        <c:axId val="165827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71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'Dec 9 Test'!$E$1:$E$2</c:f>
              <c:strCache>
                <c:ptCount val="2"/>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0"/>
            <c:dispEq val="0"/>
          </c:trendline>
          <c:xVal>
            <c:numRef>
              <c:f>'Dec 9 Test'!$B$4:$B$103</c:f>
              <c:numCache>
                <c:formatCode>General</c:formatCode>
                <c:ptCount val="100"/>
                <c:pt idx="0">
                  <c:v>-0.7243695657886563</c:v>
                </c:pt>
                <c:pt idx="1">
                  <c:v>-0.70606627383060427</c:v>
                </c:pt>
                <c:pt idx="2">
                  <c:v>-0.65550270902303243</c:v>
                </c:pt>
                <c:pt idx="3">
                  <c:v>-0.61386476183281757</c:v>
                </c:pt>
                <c:pt idx="4">
                  <c:v>-0.60795529116775093</c:v>
                </c:pt>
                <c:pt idx="5">
                  <c:v>-0.59222188597017955</c:v>
                </c:pt>
                <c:pt idx="6">
                  <c:v>-0.52963304644260911</c:v>
                </c:pt>
                <c:pt idx="7">
                  <c:v>-0.50394766458245543</c:v>
                </c:pt>
                <c:pt idx="8">
                  <c:v>-0.50073833859512362</c:v>
                </c:pt>
                <c:pt idx="9">
                  <c:v>-0.44297384752509816</c:v>
                </c:pt>
                <c:pt idx="10">
                  <c:v>-0.4404991974142739</c:v>
                </c:pt>
                <c:pt idx="11">
                  <c:v>-0.43665396316423066</c:v>
                </c:pt>
                <c:pt idx="12">
                  <c:v>-0.42069550400320799</c:v>
                </c:pt>
                <c:pt idx="13">
                  <c:v>-0.40138245349575319</c:v>
                </c:pt>
                <c:pt idx="14">
                  <c:v>-0.38181547825963724</c:v>
                </c:pt>
                <c:pt idx="15">
                  <c:v>-0.37636320634625386</c:v>
                </c:pt>
                <c:pt idx="16">
                  <c:v>-0.36976452565921197</c:v>
                </c:pt>
                <c:pt idx="17">
                  <c:v>-0.36658243285248654</c:v>
                </c:pt>
                <c:pt idx="18">
                  <c:v>-0.36116357421239731</c:v>
                </c:pt>
                <c:pt idx="19">
                  <c:v>-0.34287348093933778</c:v>
                </c:pt>
                <c:pt idx="20">
                  <c:v>-0.33884204239409699</c:v>
                </c:pt>
                <c:pt idx="21">
                  <c:v>-0.3288569069905326</c:v>
                </c:pt>
                <c:pt idx="22">
                  <c:v>-0.32596978098926338</c:v>
                </c:pt>
                <c:pt idx="23">
                  <c:v>-0.325630422069628</c:v>
                </c:pt>
                <c:pt idx="24">
                  <c:v>-0.32070263300378538</c:v>
                </c:pt>
                <c:pt idx="25">
                  <c:v>-0.31379062033890714</c:v>
                </c:pt>
                <c:pt idx="26">
                  <c:v>-0.30818278335163091</c:v>
                </c:pt>
                <c:pt idx="27">
                  <c:v>-0.30712588412998465</c:v>
                </c:pt>
                <c:pt idx="28">
                  <c:v>-0.30632952721673817</c:v>
                </c:pt>
                <c:pt idx="29">
                  <c:v>-0.30161873819065388</c:v>
                </c:pt>
                <c:pt idx="30">
                  <c:v>-0.29469460286961852</c:v>
                </c:pt>
                <c:pt idx="31">
                  <c:v>-0.29006223612867299</c:v>
                </c:pt>
                <c:pt idx="32">
                  <c:v>-0.26267991427965182</c:v>
                </c:pt>
                <c:pt idx="33">
                  <c:v>-0.25153273782298596</c:v>
                </c:pt>
                <c:pt idx="34">
                  <c:v>-0.24705337661251217</c:v>
                </c:pt>
                <c:pt idx="35">
                  <c:v>-0.23967316576546921</c:v>
                </c:pt>
                <c:pt idx="36">
                  <c:v>-0.22500152628121825</c:v>
                </c:pt>
                <c:pt idx="37">
                  <c:v>-0.20639460135624133</c:v>
                </c:pt>
                <c:pt idx="38">
                  <c:v>-0.19752332031437037</c:v>
                </c:pt>
                <c:pt idx="39">
                  <c:v>-0.18677063930006718</c:v>
                </c:pt>
                <c:pt idx="40">
                  <c:v>-0.17403320031481398</c:v>
                </c:pt>
                <c:pt idx="41">
                  <c:v>-0.16663798942461622</c:v>
                </c:pt>
                <c:pt idx="42">
                  <c:v>-0.16473196469005</c:v>
                </c:pt>
                <c:pt idx="43">
                  <c:v>-0.15639653320238178</c:v>
                </c:pt>
                <c:pt idx="44">
                  <c:v>-0.14332433015038454</c:v>
                </c:pt>
                <c:pt idx="45">
                  <c:v>-0.13974379253986791</c:v>
                </c:pt>
                <c:pt idx="46">
                  <c:v>-0.13475270955708912</c:v>
                </c:pt>
                <c:pt idx="47">
                  <c:v>-0.13189273595601411</c:v>
                </c:pt>
                <c:pt idx="48">
                  <c:v>-0.12591249031128762</c:v>
                </c:pt>
                <c:pt idx="49">
                  <c:v>-0.11204055530279958</c:v>
                </c:pt>
                <c:pt idx="50">
                  <c:v>-0.10432549592004431</c:v>
                </c:pt>
                <c:pt idx="51">
                  <c:v>-8.0709096327809621E-2</c:v>
                </c:pt>
                <c:pt idx="52">
                  <c:v>-7.5746698748386757E-2</c:v>
                </c:pt>
                <c:pt idx="53">
                  <c:v>-6.3891263987015112E-2</c:v>
                </c:pt>
                <c:pt idx="54">
                  <c:v>-6.1119306652805065E-2</c:v>
                </c:pt>
                <c:pt idx="55">
                  <c:v>-4.0775120618853571E-2</c:v>
                </c:pt>
                <c:pt idx="56">
                  <c:v>-2.0948904020390808E-2</c:v>
                </c:pt>
                <c:pt idx="57">
                  <c:v>-1.4213535409569522E-2</c:v>
                </c:pt>
                <c:pt idx="58">
                  <c:v>-5.9406105370724393E-3</c:v>
                </c:pt>
                <c:pt idx="59">
                  <c:v>5.7832447557273608E-3</c:v>
                </c:pt>
                <c:pt idx="60">
                  <c:v>8.3044352074347461E-2</c:v>
                </c:pt>
                <c:pt idx="61">
                  <c:v>8.5149645041681168E-2</c:v>
                </c:pt>
                <c:pt idx="62">
                  <c:v>0.10485538810238076</c:v>
                </c:pt>
                <c:pt idx="63">
                  <c:v>0.10515249402282628</c:v>
                </c:pt>
                <c:pt idx="64">
                  <c:v>0.1273988771308717</c:v>
                </c:pt>
                <c:pt idx="65">
                  <c:v>0.1284723673085772</c:v>
                </c:pt>
                <c:pt idx="66">
                  <c:v>0.13313131260318295</c:v>
                </c:pt>
                <c:pt idx="67">
                  <c:v>0.13617290076797442</c:v>
                </c:pt>
                <c:pt idx="68">
                  <c:v>0.13724573590286382</c:v>
                </c:pt>
                <c:pt idx="69">
                  <c:v>0.14926447603852158</c:v>
                </c:pt>
                <c:pt idx="70">
                  <c:v>0.17448257879917664</c:v>
                </c:pt>
                <c:pt idx="71">
                  <c:v>0.18197149552965927</c:v>
                </c:pt>
                <c:pt idx="72">
                  <c:v>0.19697204570043894</c:v>
                </c:pt>
                <c:pt idx="73">
                  <c:v>0.23350567855572427</c:v>
                </c:pt>
                <c:pt idx="74">
                  <c:v>0.26651716767684558</c:v>
                </c:pt>
                <c:pt idx="75">
                  <c:v>0.27629751358514287</c:v>
                </c:pt>
                <c:pt idx="76">
                  <c:v>0.28099727892305931</c:v>
                </c:pt>
                <c:pt idx="77">
                  <c:v>0.31666303787486993</c:v>
                </c:pt>
                <c:pt idx="78">
                  <c:v>0.32608995534803586</c:v>
                </c:pt>
                <c:pt idx="79">
                  <c:v>0.35150862144732625</c:v>
                </c:pt>
                <c:pt idx="80">
                  <c:v>0.38381237041271171</c:v>
                </c:pt>
                <c:pt idx="81">
                  <c:v>0.4287258016827164</c:v>
                </c:pt>
                <c:pt idx="82">
                  <c:v>0.46214785328015201</c:v>
                </c:pt>
                <c:pt idx="83">
                  <c:v>0.49801390303865484</c:v>
                </c:pt>
                <c:pt idx="84">
                  <c:v>0.54284740978872825</c:v>
                </c:pt>
                <c:pt idx="85">
                  <c:v>0.55185431692261078</c:v>
                </c:pt>
                <c:pt idx="86">
                  <c:v>0.60787247649871101</c:v>
                </c:pt>
                <c:pt idx="87">
                  <c:v>0.64683095368252252</c:v>
                </c:pt>
                <c:pt idx="88">
                  <c:v>0.77883852001659837</c:v>
                </c:pt>
                <c:pt idx="89">
                  <c:v>0.82612529515440269</c:v>
                </c:pt>
                <c:pt idx="90">
                  <c:v>0.87478517044193016</c:v>
                </c:pt>
                <c:pt idx="91">
                  <c:v>0.91346273686310819</c:v>
                </c:pt>
                <c:pt idx="92">
                  <c:v>0.93777038355108699</c:v>
                </c:pt>
                <c:pt idx="93">
                  <c:v>1.0508426036326837</c:v>
                </c:pt>
                <c:pt idx="94">
                  <c:v>1.0691216841010509</c:v>
                </c:pt>
                <c:pt idx="95">
                  <c:v>1.0709806948335505</c:v>
                </c:pt>
                <c:pt idx="96">
                  <c:v>1.0842124400431701</c:v>
                </c:pt>
                <c:pt idx="97">
                  <c:v>1.2358318715496441</c:v>
                </c:pt>
                <c:pt idx="98">
                  <c:v>1.3715841952036023</c:v>
                </c:pt>
              </c:numCache>
            </c:numRef>
          </c:xVal>
          <c:yVal>
            <c:numRef>
              <c:f>'Dec 9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B7A8-48F6-9712-A8FFEDFAC315}"/>
            </c:ext>
          </c:extLst>
        </c:ser>
        <c:dLbls>
          <c:showLegendKey val="0"/>
          <c:showVal val="0"/>
          <c:showCatName val="0"/>
          <c:showSerName val="0"/>
          <c:showPercent val="0"/>
          <c:showBubbleSize val="0"/>
        </c:dLbls>
        <c:axId val="232551712"/>
        <c:axId val="232549312"/>
      </c:scatterChart>
      <c:valAx>
        <c:axId val="232551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49312"/>
        <c:crosses val="autoZero"/>
        <c:crossBetween val="midCat"/>
      </c:valAx>
      <c:valAx>
        <c:axId val="2325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517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'Hi 10 Test'!$E$1:$E$2</c:f>
              <c:strCache>
                <c:ptCount val="2"/>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rgbClr val="FF0000"/>
                </a:solidFill>
                <a:prstDash val="solid"/>
              </a:ln>
              <a:effectLst/>
            </c:spPr>
            <c:trendlineType val="linear"/>
            <c:dispRSqr val="0"/>
            <c:dispEq val="0"/>
          </c:trendline>
          <c:xVal>
            <c:numRef>
              <c:f>'Hi 10 Test'!$B$4:$B$103</c:f>
              <c:numCache>
                <c:formatCode>General</c:formatCode>
                <c:ptCount val="100"/>
                <c:pt idx="0">
                  <c:v>-0.78933654673536868</c:v>
                </c:pt>
                <c:pt idx="1">
                  <c:v>-0.66544641407786898</c:v>
                </c:pt>
                <c:pt idx="2">
                  <c:v>-0.59442102367264416</c:v>
                </c:pt>
                <c:pt idx="3">
                  <c:v>-0.55911116527885463</c:v>
                </c:pt>
                <c:pt idx="4">
                  <c:v>-0.50397083824922595</c:v>
                </c:pt>
                <c:pt idx="5">
                  <c:v>-0.45065286873185711</c:v>
                </c:pt>
                <c:pt idx="6">
                  <c:v>-0.44875107321228397</c:v>
                </c:pt>
                <c:pt idx="7">
                  <c:v>-0.4408565622409486</c:v>
                </c:pt>
                <c:pt idx="8">
                  <c:v>-0.43904774512529054</c:v>
                </c:pt>
                <c:pt idx="9">
                  <c:v>-0.40099411789722739</c:v>
                </c:pt>
                <c:pt idx="10">
                  <c:v>-0.38099105598575783</c:v>
                </c:pt>
                <c:pt idx="11">
                  <c:v>-0.38069688861996881</c:v>
                </c:pt>
                <c:pt idx="12">
                  <c:v>-0.37630638588795973</c:v>
                </c:pt>
                <c:pt idx="13">
                  <c:v>-0.35794145991732068</c:v>
                </c:pt>
                <c:pt idx="14">
                  <c:v>-0.35143015051625021</c:v>
                </c:pt>
                <c:pt idx="15">
                  <c:v>-0.31280434399901053</c:v>
                </c:pt>
                <c:pt idx="16">
                  <c:v>-0.30971911419369724</c:v>
                </c:pt>
                <c:pt idx="17">
                  <c:v>-0.30365970437866352</c:v>
                </c:pt>
                <c:pt idx="18">
                  <c:v>-0.2749659330121908</c:v>
                </c:pt>
                <c:pt idx="19">
                  <c:v>-0.26445915722385765</c:v>
                </c:pt>
                <c:pt idx="20">
                  <c:v>-0.25151730600205646</c:v>
                </c:pt>
                <c:pt idx="21">
                  <c:v>-0.2407743138171036</c:v>
                </c:pt>
                <c:pt idx="22">
                  <c:v>-0.23897445137147566</c:v>
                </c:pt>
                <c:pt idx="23">
                  <c:v>-0.23360306177731618</c:v>
                </c:pt>
                <c:pt idx="24">
                  <c:v>-0.20796926534329854</c:v>
                </c:pt>
                <c:pt idx="25">
                  <c:v>-0.19956741541058387</c:v>
                </c:pt>
                <c:pt idx="26">
                  <c:v>-0.18807809390633423</c:v>
                </c:pt>
                <c:pt idx="27">
                  <c:v>-0.17963756193283176</c:v>
                </c:pt>
                <c:pt idx="28">
                  <c:v>-0.17373572079705971</c:v>
                </c:pt>
                <c:pt idx="29">
                  <c:v>-0.17034120861302263</c:v>
                </c:pt>
                <c:pt idx="30">
                  <c:v>-0.15091010283986148</c:v>
                </c:pt>
                <c:pt idx="31">
                  <c:v>-9.2249069785892895E-2</c:v>
                </c:pt>
                <c:pt idx="32">
                  <c:v>-6.1888169757019759E-2</c:v>
                </c:pt>
                <c:pt idx="33">
                  <c:v>-4.8786964174551986E-2</c:v>
                </c:pt>
                <c:pt idx="34">
                  <c:v>-4.6563445149369123E-2</c:v>
                </c:pt>
                <c:pt idx="35">
                  <c:v>-4.4994227860345661E-2</c:v>
                </c:pt>
                <c:pt idx="36">
                  <c:v>-4.1397159896152294E-2</c:v>
                </c:pt>
                <c:pt idx="37">
                  <c:v>-3.9825616070166596E-2</c:v>
                </c:pt>
                <c:pt idx="38">
                  <c:v>-1.3098410861334063E-2</c:v>
                </c:pt>
                <c:pt idx="39">
                  <c:v>-7.8547680793780057E-3</c:v>
                </c:pt>
                <c:pt idx="40">
                  <c:v>-4.5975525666140911E-3</c:v>
                </c:pt>
                <c:pt idx="41">
                  <c:v>-3.3275300927085166E-3</c:v>
                </c:pt>
                <c:pt idx="42">
                  <c:v>2.2674274424015982E-3</c:v>
                </c:pt>
                <c:pt idx="43">
                  <c:v>3.4923029789229627E-2</c:v>
                </c:pt>
                <c:pt idx="44">
                  <c:v>3.9076471981792843E-2</c:v>
                </c:pt>
                <c:pt idx="45">
                  <c:v>4.1918992597781618E-2</c:v>
                </c:pt>
                <c:pt idx="46">
                  <c:v>5.7598872379398404E-2</c:v>
                </c:pt>
                <c:pt idx="47">
                  <c:v>6.1414897701466145E-2</c:v>
                </c:pt>
                <c:pt idx="48">
                  <c:v>6.7518451730822798E-2</c:v>
                </c:pt>
                <c:pt idx="49">
                  <c:v>7.3975106184572828E-2</c:v>
                </c:pt>
                <c:pt idx="50">
                  <c:v>7.6988818528110819E-2</c:v>
                </c:pt>
                <c:pt idx="51">
                  <c:v>9.0589966194361715E-2</c:v>
                </c:pt>
                <c:pt idx="52">
                  <c:v>0.11056594387759361</c:v>
                </c:pt>
                <c:pt idx="53">
                  <c:v>0.14737635725897791</c:v>
                </c:pt>
                <c:pt idx="54">
                  <c:v>0.15302147108240252</c:v>
                </c:pt>
                <c:pt idx="55">
                  <c:v>0.16868736551815103</c:v>
                </c:pt>
                <c:pt idx="56">
                  <c:v>0.19601898391755218</c:v>
                </c:pt>
                <c:pt idx="57">
                  <c:v>0.20030881180834159</c:v>
                </c:pt>
                <c:pt idx="58">
                  <c:v>0.20887422702193015</c:v>
                </c:pt>
                <c:pt idx="59">
                  <c:v>0.21661025574068135</c:v>
                </c:pt>
                <c:pt idx="60">
                  <c:v>0.21845256582608627</c:v>
                </c:pt>
                <c:pt idx="61">
                  <c:v>0.22061235052667785</c:v>
                </c:pt>
                <c:pt idx="62">
                  <c:v>0.23280076990724541</c:v>
                </c:pt>
                <c:pt idx="63">
                  <c:v>0.24220865180238249</c:v>
                </c:pt>
                <c:pt idx="64">
                  <c:v>0.24261671257771025</c:v>
                </c:pt>
                <c:pt idx="65">
                  <c:v>0.2497932719089673</c:v>
                </c:pt>
                <c:pt idx="66">
                  <c:v>0.27491593092210703</c:v>
                </c:pt>
                <c:pt idx="67">
                  <c:v>0.27688903662249492</c:v>
                </c:pt>
                <c:pt idx="68">
                  <c:v>0.28177465798731438</c:v>
                </c:pt>
                <c:pt idx="69">
                  <c:v>0.28330500706226974</c:v>
                </c:pt>
                <c:pt idx="70">
                  <c:v>0.32987912115156931</c:v>
                </c:pt>
                <c:pt idx="71">
                  <c:v>0.35852024033161811</c:v>
                </c:pt>
                <c:pt idx="72">
                  <c:v>0.36260631850615344</c:v>
                </c:pt>
                <c:pt idx="73">
                  <c:v>0.39300783750581203</c:v>
                </c:pt>
                <c:pt idx="74">
                  <c:v>0.42460738670317039</c:v>
                </c:pt>
                <c:pt idx="75">
                  <c:v>0.43553510652751681</c:v>
                </c:pt>
                <c:pt idx="76">
                  <c:v>0.45476942579230772</c:v>
                </c:pt>
                <c:pt idx="77">
                  <c:v>0.47888903683370748</c:v>
                </c:pt>
                <c:pt idx="78">
                  <c:v>0.49707146753332759</c:v>
                </c:pt>
                <c:pt idx="79">
                  <c:v>0.57254893591874234</c:v>
                </c:pt>
                <c:pt idx="80">
                  <c:v>0.58761998434502005</c:v>
                </c:pt>
                <c:pt idx="81">
                  <c:v>0.61983427687089465</c:v>
                </c:pt>
                <c:pt idx="82">
                  <c:v>0.63835302847280673</c:v>
                </c:pt>
                <c:pt idx="83">
                  <c:v>0.6782264175493723</c:v>
                </c:pt>
                <c:pt idx="84">
                  <c:v>0.70783380221156944</c:v>
                </c:pt>
                <c:pt idx="85">
                  <c:v>0.73429392234409929</c:v>
                </c:pt>
                <c:pt idx="86">
                  <c:v>0.79410953848598531</c:v>
                </c:pt>
                <c:pt idx="87">
                  <c:v>0.81879256016034307</c:v>
                </c:pt>
                <c:pt idx="88">
                  <c:v>0.87344168426926749</c:v>
                </c:pt>
                <c:pt idx="89">
                  <c:v>0.998088206735114</c:v>
                </c:pt>
                <c:pt idx="90">
                  <c:v>1.043691369768353</c:v>
                </c:pt>
                <c:pt idx="91">
                  <c:v>1.0982955718519667</c:v>
                </c:pt>
                <c:pt idx="92">
                  <c:v>1.1149284531530457</c:v>
                </c:pt>
                <c:pt idx="93">
                  <c:v>1.1444616249023902</c:v>
                </c:pt>
                <c:pt idx="94">
                  <c:v>1.1568403154533102</c:v>
                </c:pt>
                <c:pt idx="95">
                  <c:v>1.1783903459402025</c:v>
                </c:pt>
                <c:pt idx="96">
                  <c:v>1.2492453603883937</c:v>
                </c:pt>
                <c:pt idx="97">
                  <c:v>1.3212730567946018</c:v>
                </c:pt>
                <c:pt idx="98">
                  <c:v>1.4684709443069561</c:v>
                </c:pt>
              </c:numCache>
            </c:numRef>
          </c:xVal>
          <c:yVal>
            <c:numRef>
              <c:f>'Hi 10 Test'!$E$4:$E$103</c:f>
              <c:numCache>
                <c:formatCode>General</c:formatCode>
                <c:ptCount val="100"/>
                <c:pt idx="0">
                  <c:v>-2.5723521109428895</c:v>
                </c:pt>
                <c:pt idx="1">
                  <c:v>-2.1661067528923286</c:v>
                </c:pt>
                <c:pt idx="2">
                  <c:v>-1.9556614355881679</c:v>
                </c:pt>
                <c:pt idx="3">
                  <c:v>-1.807354196799112</c:v>
                </c:pt>
                <c:pt idx="4">
                  <c:v>-1.6906216295848977</c:v>
                </c:pt>
                <c:pt idx="5">
                  <c:v>-1.5932188180230502</c:v>
                </c:pt>
                <c:pt idx="6">
                  <c:v>-1.5089438550380374</c:v>
                </c:pt>
                <c:pt idx="7">
                  <c:v>-1.4342001596863787</c:v>
                </c:pt>
                <c:pt idx="8">
                  <c:v>-1.3667069718079636</c:v>
                </c:pt>
                <c:pt idx="9">
                  <c:v>-1.304922637752725</c:v>
                </c:pt>
                <c:pt idx="10">
                  <c:v>-1.2477538553513243</c:v>
                </c:pt>
                <c:pt idx="11">
                  <c:v>-1.1943956635681565</c:v>
                </c:pt>
                <c:pt idx="12">
                  <c:v>-1.1442372651002066</c:v>
                </c:pt>
                <c:pt idx="13">
                  <c:v>-1.096803562093513</c:v>
                </c:pt>
                <c:pt idx="14">
                  <c:v>-1.0517172529984806</c:v>
                </c:pt>
                <c:pt idx="15">
                  <c:v>-1.0086733576467986</c:v>
                </c:pt>
                <c:pt idx="16">
                  <c:v>-0.96742156610170071</c:v>
                </c:pt>
                <c:pt idx="17">
                  <c:v>-0.92775368535742475</c:v>
                </c:pt>
                <c:pt idx="18">
                  <c:v>-0.88949450753063364</c:v>
                </c:pt>
                <c:pt idx="19">
                  <c:v>-0.85249503427469364</c:v>
                </c:pt>
                <c:pt idx="20">
                  <c:v>-0.81662736084860543</c:v>
                </c:pt>
                <c:pt idx="21">
                  <c:v>-0.78178075276507197</c:v>
                </c:pt>
                <c:pt idx="22">
                  <c:v>-0.74785859476330196</c:v>
                </c:pt>
                <c:pt idx="23">
                  <c:v>-0.71477598810315091</c:v>
                </c:pt>
                <c:pt idx="24">
                  <c:v>-0.68245783666933024</c:v>
                </c:pt>
                <c:pt idx="25">
                  <c:v>-0.65083730644447746</c:v>
                </c:pt>
                <c:pt idx="26">
                  <c:v>-0.61985457356549389</c:v>
                </c:pt>
                <c:pt idx="27">
                  <c:v>-0.58945579784977842</c:v>
                </c:pt>
                <c:pt idx="28">
                  <c:v>-0.5595922742274323</c:v>
                </c:pt>
                <c:pt idx="29">
                  <c:v>-0.53021972582422794</c:v>
                </c:pt>
                <c:pt idx="30">
                  <c:v>-0.50129771076772867</c:v>
                </c:pt>
                <c:pt idx="31">
                  <c:v>-0.47278912099226744</c:v>
                </c:pt>
                <c:pt idx="32">
                  <c:v>-0.4446597559886718</c:v>
                </c:pt>
                <c:pt idx="33">
                  <c:v>-0.41687795799540722</c:v>
                </c:pt>
                <c:pt idx="34">
                  <c:v>-0.38941429785214438</c:v>
                </c:pt>
                <c:pt idx="35">
                  <c:v>-0.3622413028447366</c:v>
                </c:pt>
                <c:pt idx="36">
                  <c:v>-0.33533321951439826</c:v>
                </c:pt>
                <c:pt idx="37">
                  <c:v>-0.30866580569493407</c:v>
                </c:pt>
                <c:pt idx="38">
                  <c:v>-0.28221614706250814</c:v>
                </c:pt>
                <c:pt idx="39">
                  <c:v>-0.25596249429406465</c:v>
                </c:pt>
                <c:pt idx="40">
                  <c:v>-0.22988411757923208</c:v>
                </c:pt>
                <c:pt idx="41">
                  <c:v>-0.20396117575131437</c:v>
                </c:pt>
                <c:pt idx="42">
                  <c:v>-0.17817459772241043</c:v>
                </c:pt>
                <c:pt idx="43">
                  <c:v>-0.15250597424624437</c:v>
                </c:pt>
                <c:pt idx="44">
                  <c:v>-0.12693745830564304</c:v>
                </c:pt>
                <c:pt idx="45">
                  <c:v>-0.1014516726419474</c:v>
                </c:pt>
                <c:pt idx="46">
                  <c:v>-7.60316231203884E-2</c:v>
                </c:pt>
                <c:pt idx="47">
                  <c:v>-5.0660616765876576E-2</c:v>
                </c:pt>
                <c:pt idx="48">
                  <c:v>-2.5322183413346296E-2</c:v>
                </c:pt>
                <c:pt idx="49">
                  <c:v>0</c:v>
                </c:pt>
                <c:pt idx="50">
                  <c:v>2.5322183413346164E-2</c:v>
                </c:pt>
                <c:pt idx="51">
                  <c:v>5.0660616765876576E-2</c:v>
                </c:pt>
                <c:pt idx="52">
                  <c:v>7.60316231203884E-2</c:v>
                </c:pt>
                <c:pt idx="53">
                  <c:v>0.10145167264194754</c:v>
                </c:pt>
                <c:pt idx="54">
                  <c:v>0.12693745830564304</c:v>
                </c:pt>
                <c:pt idx="55">
                  <c:v>0.15250597424624424</c:v>
                </c:pt>
                <c:pt idx="56">
                  <c:v>0.17817459772241043</c:v>
                </c:pt>
                <c:pt idx="57">
                  <c:v>0.2039611757513142</c:v>
                </c:pt>
                <c:pt idx="58">
                  <c:v>0.22988411757923222</c:v>
                </c:pt>
                <c:pt idx="59">
                  <c:v>0.25596249429406465</c:v>
                </c:pt>
                <c:pt idx="60">
                  <c:v>0.28221614706250825</c:v>
                </c:pt>
                <c:pt idx="61">
                  <c:v>0.30866580569493407</c:v>
                </c:pt>
                <c:pt idx="62">
                  <c:v>0.3353332195143981</c:v>
                </c:pt>
                <c:pt idx="63">
                  <c:v>0.3622413028447366</c:v>
                </c:pt>
                <c:pt idx="64">
                  <c:v>0.38941429785214438</c:v>
                </c:pt>
                <c:pt idx="65">
                  <c:v>0.41687795799540739</c:v>
                </c:pt>
                <c:pt idx="66">
                  <c:v>0.4446597559886718</c:v>
                </c:pt>
                <c:pt idx="67">
                  <c:v>0.47278912099226728</c:v>
                </c:pt>
                <c:pt idx="68">
                  <c:v>0.50129771076772867</c:v>
                </c:pt>
                <c:pt idx="69">
                  <c:v>0.53021972582422772</c:v>
                </c:pt>
                <c:pt idx="70">
                  <c:v>0.55959227422743252</c:v>
                </c:pt>
                <c:pt idx="71">
                  <c:v>0.58945579784977842</c:v>
                </c:pt>
                <c:pt idx="72">
                  <c:v>0.61985457356549423</c:v>
                </c:pt>
                <c:pt idx="73">
                  <c:v>0.65083730644447746</c:v>
                </c:pt>
                <c:pt idx="74">
                  <c:v>0.68245783666933024</c:v>
                </c:pt>
                <c:pt idx="75">
                  <c:v>0.71477598810315091</c:v>
                </c:pt>
                <c:pt idx="76">
                  <c:v>0.74785859476330196</c:v>
                </c:pt>
                <c:pt idx="77">
                  <c:v>0.78178075276507275</c:v>
                </c:pt>
                <c:pt idx="78">
                  <c:v>0.81662736084860543</c:v>
                </c:pt>
                <c:pt idx="79">
                  <c:v>0.85249503427469353</c:v>
                </c:pt>
                <c:pt idx="80">
                  <c:v>0.88949450753063364</c:v>
                </c:pt>
                <c:pt idx="81">
                  <c:v>0.92775368535742475</c:v>
                </c:pt>
                <c:pt idx="82">
                  <c:v>0.96742156610170071</c:v>
                </c:pt>
                <c:pt idx="83">
                  <c:v>1.0086733576467986</c:v>
                </c:pt>
                <c:pt idx="84">
                  <c:v>1.0517172529984837</c:v>
                </c:pt>
                <c:pt idx="85">
                  <c:v>1.096803562093513</c:v>
                </c:pt>
                <c:pt idx="86">
                  <c:v>1.1442372651002066</c:v>
                </c:pt>
                <c:pt idx="87">
                  <c:v>1.1943956635681565</c:v>
                </c:pt>
                <c:pt idx="88">
                  <c:v>1.2477538553513243</c:v>
                </c:pt>
                <c:pt idx="89">
                  <c:v>1.3049226377527239</c:v>
                </c:pt>
                <c:pt idx="90">
                  <c:v>1.3667069718079636</c:v>
                </c:pt>
                <c:pt idx="91">
                  <c:v>1.434200159686378</c:v>
                </c:pt>
                <c:pt idx="92">
                  <c:v>1.5089438550380383</c:v>
                </c:pt>
                <c:pt idx="93">
                  <c:v>1.59321881802305</c:v>
                </c:pt>
                <c:pt idx="94">
                  <c:v>1.6906216295848984</c:v>
                </c:pt>
                <c:pt idx="95">
                  <c:v>1.807354196799112</c:v>
                </c:pt>
                <c:pt idx="96">
                  <c:v>1.9556614355881674</c:v>
                </c:pt>
                <c:pt idx="97">
                  <c:v>2.166106752892329</c:v>
                </c:pt>
                <c:pt idx="98">
                  <c:v>2.5723521109428868</c:v>
                </c:pt>
              </c:numCache>
            </c:numRef>
          </c:yVal>
          <c:smooth val="0"/>
          <c:extLst>
            <c:ext xmlns:c16="http://schemas.microsoft.com/office/drawing/2014/chart" uri="{C3380CC4-5D6E-409C-BE32-E72D297353CC}">
              <c16:uniqueId val="{00000000-FE90-4829-BCA3-EA61AE1A8050}"/>
            </c:ext>
          </c:extLst>
        </c:ser>
        <c:dLbls>
          <c:showLegendKey val="0"/>
          <c:showVal val="0"/>
          <c:showCatName val="0"/>
          <c:showSerName val="0"/>
          <c:showPercent val="0"/>
          <c:showBubbleSize val="0"/>
        </c:dLbls>
        <c:axId val="226618848"/>
        <c:axId val="226619328"/>
      </c:scatterChart>
      <c:valAx>
        <c:axId val="226618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19328"/>
        <c:crosses val="autoZero"/>
        <c:crossBetween val="midCat"/>
      </c:valAx>
      <c:valAx>
        <c:axId val="22661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188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11</xdr:col>
      <xdr:colOff>129540</xdr:colOff>
      <xdr:row>2</xdr:row>
      <xdr:rowOff>0</xdr:rowOff>
    </xdr:from>
    <xdr:to>
      <xdr:col>22</xdr:col>
      <xdr:colOff>45720</xdr:colOff>
      <xdr:row>21</xdr:row>
      <xdr:rowOff>121920</xdr:rowOff>
    </xdr:to>
    <xdr:graphicFrame macro="">
      <xdr:nvGraphicFramePr>
        <xdr:cNvPr id="3" name="Chart 2">
          <a:extLst>
            <a:ext uri="{FF2B5EF4-FFF2-40B4-BE49-F238E27FC236}">
              <a16:creationId xmlns:a16="http://schemas.microsoft.com/office/drawing/2014/main" id="{DC0EABDB-3B40-248D-C7B8-E61154764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1</xdr:row>
      <xdr:rowOff>175260</xdr:rowOff>
    </xdr:from>
    <xdr:to>
      <xdr:col>13</xdr:col>
      <xdr:colOff>320040</xdr:colOff>
      <xdr:row>16</xdr:row>
      <xdr:rowOff>175260</xdr:rowOff>
    </xdr:to>
    <xdr:graphicFrame macro="">
      <xdr:nvGraphicFramePr>
        <xdr:cNvPr id="2" name="Chart 1">
          <a:extLst>
            <a:ext uri="{FF2B5EF4-FFF2-40B4-BE49-F238E27FC236}">
              <a16:creationId xmlns:a16="http://schemas.microsoft.com/office/drawing/2014/main" id="{BF92CB40-4A28-5D4D-D5C7-85FC33180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175260</xdr:rowOff>
    </xdr:from>
    <xdr:to>
      <xdr:col>13</xdr:col>
      <xdr:colOff>304800</xdr:colOff>
      <xdr:row>16</xdr:row>
      <xdr:rowOff>175260</xdr:rowOff>
    </xdr:to>
    <xdr:graphicFrame macro="">
      <xdr:nvGraphicFramePr>
        <xdr:cNvPr id="2" name="Chart 1">
          <a:extLst>
            <a:ext uri="{FF2B5EF4-FFF2-40B4-BE49-F238E27FC236}">
              <a16:creationId xmlns:a16="http://schemas.microsoft.com/office/drawing/2014/main" id="{930EF497-BA8E-B6A7-F55B-F52CDD9C5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2</xdr:row>
      <xdr:rowOff>0</xdr:rowOff>
    </xdr:from>
    <xdr:to>
      <xdr:col>13</xdr:col>
      <xdr:colOff>297180</xdr:colOff>
      <xdr:row>17</xdr:row>
      <xdr:rowOff>0</xdr:rowOff>
    </xdr:to>
    <xdr:graphicFrame macro="">
      <xdr:nvGraphicFramePr>
        <xdr:cNvPr id="2" name="Chart 1">
          <a:extLst>
            <a:ext uri="{FF2B5EF4-FFF2-40B4-BE49-F238E27FC236}">
              <a16:creationId xmlns:a16="http://schemas.microsoft.com/office/drawing/2014/main" id="{1FE98792-F562-94BC-E2A9-053D1CC4E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175260</xdr:rowOff>
    </xdr:from>
    <xdr:to>
      <xdr:col>13</xdr:col>
      <xdr:colOff>304800</xdr:colOff>
      <xdr:row>16</xdr:row>
      <xdr:rowOff>175260</xdr:rowOff>
    </xdr:to>
    <xdr:graphicFrame macro="">
      <xdr:nvGraphicFramePr>
        <xdr:cNvPr id="2" name="Chart 1">
          <a:extLst>
            <a:ext uri="{FF2B5EF4-FFF2-40B4-BE49-F238E27FC236}">
              <a16:creationId xmlns:a16="http://schemas.microsoft.com/office/drawing/2014/main" id="{0299EB18-A2C0-8DF9-EBEB-8A61FC750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7620</xdr:colOff>
      <xdr:row>2</xdr:row>
      <xdr:rowOff>7620</xdr:rowOff>
    </xdr:from>
    <xdr:to>
      <xdr:col>13</xdr:col>
      <xdr:colOff>312420</xdr:colOff>
      <xdr:row>17</xdr:row>
      <xdr:rowOff>7620</xdr:rowOff>
    </xdr:to>
    <xdr:graphicFrame macro="">
      <xdr:nvGraphicFramePr>
        <xdr:cNvPr id="3" name="Chart 2">
          <a:extLst>
            <a:ext uri="{FF2B5EF4-FFF2-40B4-BE49-F238E27FC236}">
              <a16:creationId xmlns:a16="http://schemas.microsoft.com/office/drawing/2014/main" id="{F9CC04E9-86FC-86FF-3D73-9FDBC30E0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144780</xdr:colOff>
      <xdr:row>1</xdr:row>
      <xdr:rowOff>175260</xdr:rowOff>
    </xdr:from>
    <xdr:to>
      <xdr:col>12</xdr:col>
      <xdr:colOff>449580</xdr:colOff>
      <xdr:row>16</xdr:row>
      <xdr:rowOff>175260</xdr:rowOff>
    </xdr:to>
    <xdr:graphicFrame macro="">
      <xdr:nvGraphicFramePr>
        <xdr:cNvPr id="6" name="Chart 5">
          <a:extLst>
            <a:ext uri="{FF2B5EF4-FFF2-40B4-BE49-F238E27FC236}">
              <a16:creationId xmlns:a16="http://schemas.microsoft.com/office/drawing/2014/main" id="{9F3DDBD5-73DE-7A6C-A058-42A8881C6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99060</xdr:colOff>
      <xdr:row>1</xdr:row>
      <xdr:rowOff>160020</xdr:rowOff>
    </xdr:from>
    <xdr:to>
      <xdr:col>12</xdr:col>
      <xdr:colOff>403860</xdr:colOff>
      <xdr:row>16</xdr:row>
      <xdr:rowOff>160020</xdr:rowOff>
    </xdr:to>
    <xdr:graphicFrame macro="">
      <xdr:nvGraphicFramePr>
        <xdr:cNvPr id="2" name="Chart 1">
          <a:extLst>
            <a:ext uri="{FF2B5EF4-FFF2-40B4-BE49-F238E27FC236}">
              <a16:creationId xmlns:a16="http://schemas.microsoft.com/office/drawing/2014/main" id="{A86EEF55-D0D2-C40A-8001-EEF4E3BA7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327660</xdr:colOff>
      <xdr:row>5</xdr:row>
      <xdr:rowOff>7620</xdr:rowOff>
    </xdr:from>
    <xdr:to>
      <xdr:col>13</xdr:col>
      <xdr:colOff>22860</xdr:colOff>
      <xdr:row>20</xdr:row>
      <xdr:rowOff>7620</xdr:rowOff>
    </xdr:to>
    <xdr:graphicFrame macro="">
      <xdr:nvGraphicFramePr>
        <xdr:cNvPr id="2" name="Chart 1">
          <a:extLst>
            <a:ext uri="{FF2B5EF4-FFF2-40B4-BE49-F238E27FC236}">
              <a16:creationId xmlns:a16="http://schemas.microsoft.com/office/drawing/2014/main" id="{A11CF6EC-6E0D-988D-2035-CFFA43558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114300</xdr:colOff>
      <xdr:row>2</xdr:row>
      <xdr:rowOff>60960</xdr:rowOff>
    </xdr:from>
    <xdr:to>
      <xdr:col>12</xdr:col>
      <xdr:colOff>419100</xdr:colOff>
      <xdr:row>17</xdr:row>
      <xdr:rowOff>60960</xdr:rowOff>
    </xdr:to>
    <xdr:graphicFrame macro="">
      <xdr:nvGraphicFramePr>
        <xdr:cNvPr id="2" name="Chart 1">
          <a:extLst>
            <a:ext uri="{FF2B5EF4-FFF2-40B4-BE49-F238E27FC236}">
              <a16:creationId xmlns:a16="http://schemas.microsoft.com/office/drawing/2014/main" id="{1E8DE698-6250-A0EE-27FB-DCBC13E03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259080</xdr:colOff>
      <xdr:row>2</xdr:row>
      <xdr:rowOff>22860</xdr:rowOff>
    </xdr:from>
    <xdr:to>
      <xdr:col>12</xdr:col>
      <xdr:colOff>563880</xdr:colOff>
      <xdr:row>17</xdr:row>
      <xdr:rowOff>22860</xdr:rowOff>
    </xdr:to>
    <xdr:graphicFrame macro="">
      <xdr:nvGraphicFramePr>
        <xdr:cNvPr id="2" name="Chart 1">
          <a:extLst>
            <a:ext uri="{FF2B5EF4-FFF2-40B4-BE49-F238E27FC236}">
              <a16:creationId xmlns:a16="http://schemas.microsoft.com/office/drawing/2014/main" id="{CAD3AD94-7021-7368-3B90-A828F79E1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2384-2697-4FDD-B40F-B704C590EB3F}">
  <dimension ref="A1:A6"/>
  <sheetViews>
    <sheetView tabSelected="1" workbookViewId="0">
      <selection activeCell="A14" sqref="A14"/>
    </sheetView>
  </sheetViews>
  <sheetFormatPr defaultRowHeight="14.4" x14ac:dyDescent="0.3"/>
  <cols>
    <col min="1" max="1" width="195.77734375" style="1" customWidth="1"/>
  </cols>
  <sheetData>
    <row r="1" spans="1:1" ht="14.4" customHeight="1" x14ac:dyDescent="0.3">
      <c r="A1" s="1" t="s">
        <v>26</v>
      </c>
    </row>
    <row r="2" spans="1:1" ht="14.4" customHeight="1" x14ac:dyDescent="0.3"/>
    <row r="3" spans="1:1" ht="14.4" customHeight="1" x14ac:dyDescent="0.3">
      <c r="A3" s="1" t="s">
        <v>30</v>
      </c>
    </row>
    <row r="4" spans="1:1" ht="14.4" customHeight="1" x14ac:dyDescent="0.3">
      <c r="A4" s="1" t="s">
        <v>27</v>
      </c>
    </row>
    <row r="5" spans="1:1" ht="14.4" customHeight="1" x14ac:dyDescent="0.3">
      <c r="A5" s="1" t="s">
        <v>28</v>
      </c>
    </row>
    <row r="6" spans="1:1" ht="28.8" customHeight="1" x14ac:dyDescent="0.3">
      <c r="A6"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F0EE-A8B2-404A-8EF9-CD110E7322A5}">
  <dimension ref="A1:K102"/>
  <sheetViews>
    <sheetView workbookViewId="0">
      <selection activeCell="B4" sqref="B4"/>
    </sheetView>
  </sheetViews>
  <sheetFormatPr defaultRowHeight="14.4" x14ac:dyDescent="0.3"/>
  <sheetData>
    <row r="1" spans="1:11" x14ac:dyDescent="0.3">
      <c r="A1" t="s">
        <v>0</v>
      </c>
    </row>
    <row r="3" spans="1:11" x14ac:dyDescent="0.3">
      <c r="A3" t="s">
        <v>1</v>
      </c>
      <c r="B3" t="s">
        <v>2</v>
      </c>
      <c r="C3" t="s">
        <v>3</v>
      </c>
      <c r="D3" t="s">
        <v>4</v>
      </c>
      <c r="E3" t="s">
        <v>5</v>
      </c>
      <c r="F3" t="s">
        <v>6</v>
      </c>
      <c r="G3" t="s">
        <v>7</v>
      </c>
      <c r="H3" t="s">
        <v>8</v>
      </c>
      <c r="I3" t="s">
        <v>9</v>
      </c>
      <c r="J3" t="s">
        <v>10</v>
      </c>
      <c r="K3" t="s">
        <v>11</v>
      </c>
    </row>
    <row r="4" spans="1:11" x14ac:dyDescent="0.3">
      <c r="A4">
        <v>1927</v>
      </c>
      <c r="B4">
        <v>0.70651399999999998</v>
      </c>
      <c r="C4">
        <v>0.56113299999999999</v>
      </c>
      <c r="D4">
        <v>0.65985000000000005</v>
      </c>
      <c r="E4">
        <v>0.47089700000000001</v>
      </c>
      <c r="F4">
        <v>0.51548000000000005</v>
      </c>
      <c r="G4">
        <v>0.51157399999999997</v>
      </c>
      <c r="H4">
        <v>0.62378599999999995</v>
      </c>
      <c r="I4">
        <v>0.66161599999999998</v>
      </c>
      <c r="J4">
        <v>0.87393200000000004</v>
      </c>
      <c r="K4">
        <v>1.21655</v>
      </c>
    </row>
    <row r="5" spans="1:11" x14ac:dyDescent="0.3">
      <c r="A5">
        <v>1928</v>
      </c>
      <c r="B5">
        <v>1.05185</v>
      </c>
      <c r="C5">
        <v>0.94320000000000004</v>
      </c>
      <c r="D5">
        <v>0.751112</v>
      </c>
      <c r="E5">
        <v>0.81472</v>
      </c>
      <c r="F5">
        <v>0.888513</v>
      </c>
      <c r="G5">
        <v>0.71981099999999998</v>
      </c>
      <c r="H5">
        <v>0.65600700000000001</v>
      </c>
      <c r="I5">
        <v>0.846974</v>
      </c>
      <c r="J5">
        <v>1.1995800000000001</v>
      </c>
      <c r="K5">
        <v>1.3190200000000001</v>
      </c>
    </row>
    <row r="6" spans="1:11" x14ac:dyDescent="0.3">
      <c r="A6">
        <v>1929</v>
      </c>
      <c r="B6">
        <v>2.2616900000000002</v>
      </c>
      <c r="C6">
        <v>2.02244</v>
      </c>
      <c r="D6">
        <v>2.274</v>
      </c>
      <c r="E6">
        <v>1.8106599999999999</v>
      </c>
      <c r="F6">
        <v>1.6558299999999999</v>
      </c>
      <c r="G6">
        <v>1.76006</v>
      </c>
      <c r="H6">
        <v>1.6299600000000001</v>
      </c>
      <c r="I6">
        <v>1.5386200000000001</v>
      </c>
      <c r="J6">
        <v>1.73647</v>
      </c>
      <c r="K6">
        <v>2.0840100000000001</v>
      </c>
    </row>
    <row r="7" spans="1:11" x14ac:dyDescent="0.3">
      <c r="A7">
        <v>1930</v>
      </c>
      <c r="B7">
        <v>1.76302</v>
      </c>
      <c r="C7">
        <v>1.5727199999999999</v>
      </c>
      <c r="D7">
        <v>1.47631</v>
      </c>
      <c r="E7">
        <v>1.25769</v>
      </c>
      <c r="F7">
        <v>1.1272500000000001</v>
      </c>
      <c r="G7">
        <v>1.3843799999999999</v>
      </c>
      <c r="H7">
        <v>1.13696</v>
      </c>
      <c r="I7">
        <v>1.3547100000000001</v>
      </c>
      <c r="J7">
        <v>1.6454500000000001</v>
      </c>
      <c r="K7">
        <v>1.97038</v>
      </c>
    </row>
    <row r="8" spans="1:11" x14ac:dyDescent="0.3">
      <c r="A8">
        <v>1931</v>
      </c>
      <c r="B8">
        <v>2.0498400000000001</v>
      </c>
      <c r="C8">
        <v>1.8547100000000001</v>
      </c>
      <c r="D8">
        <v>1.7684299999999999</v>
      </c>
      <c r="E8">
        <v>2.2362099999999998</v>
      </c>
      <c r="F8">
        <v>2.2061099999999998</v>
      </c>
      <c r="G8">
        <v>2.52325</v>
      </c>
      <c r="H8">
        <v>2.56792</v>
      </c>
      <c r="I8">
        <v>2.5985</v>
      </c>
      <c r="J8">
        <v>2.9571100000000001</v>
      </c>
      <c r="K8">
        <v>2.83968</v>
      </c>
    </row>
    <row r="9" spans="1:11" x14ac:dyDescent="0.3">
      <c r="A9">
        <v>1932</v>
      </c>
      <c r="B9">
        <v>2.8684599999999998</v>
      </c>
      <c r="C9">
        <v>2.4341900000000001</v>
      </c>
      <c r="D9">
        <v>2.4582799999999998</v>
      </c>
      <c r="E9">
        <v>3.3787500000000001</v>
      </c>
      <c r="F9">
        <v>3.0886</v>
      </c>
      <c r="G9">
        <v>3.8748399999999998</v>
      </c>
      <c r="H9">
        <v>3.7023199999999998</v>
      </c>
      <c r="I9">
        <v>3.6498900000000001</v>
      </c>
      <c r="J9">
        <v>3.4412400000000001</v>
      </c>
      <c r="K9">
        <v>3.7481900000000001</v>
      </c>
    </row>
    <row r="10" spans="1:11" x14ac:dyDescent="0.3">
      <c r="A10">
        <v>1933</v>
      </c>
      <c r="B10">
        <v>2.4483199999999998</v>
      </c>
      <c r="C10">
        <v>2.1835100000000001</v>
      </c>
      <c r="D10">
        <v>2.3168000000000002</v>
      </c>
      <c r="E10">
        <v>3.2556799999999999</v>
      </c>
      <c r="F10">
        <v>3.1555399999999998</v>
      </c>
      <c r="G10">
        <v>3.3118099999999999</v>
      </c>
      <c r="H10">
        <v>3.6266500000000002</v>
      </c>
      <c r="I10">
        <v>3.8388599999999999</v>
      </c>
      <c r="J10">
        <v>3.9415900000000001</v>
      </c>
      <c r="K10">
        <v>4.3425900000000004</v>
      </c>
    </row>
    <row r="11" spans="1:11" x14ac:dyDescent="0.3">
      <c r="A11">
        <v>1934</v>
      </c>
      <c r="B11">
        <v>1.26624</v>
      </c>
      <c r="C11">
        <v>1.28651</v>
      </c>
      <c r="D11">
        <v>1.2218899999999999</v>
      </c>
      <c r="E11">
        <v>1.25065</v>
      </c>
      <c r="F11">
        <v>1.5464</v>
      </c>
      <c r="G11">
        <v>1.76423</v>
      </c>
      <c r="H11">
        <v>2.0184099999999998</v>
      </c>
      <c r="I11">
        <v>2.2487900000000001</v>
      </c>
      <c r="J11">
        <v>2.4929399999999999</v>
      </c>
      <c r="K11">
        <v>2.7130899999999998</v>
      </c>
    </row>
    <row r="12" spans="1:11" x14ac:dyDescent="0.3">
      <c r="A12">
        <v>1935</v>
      </c>
      <c r="B12">
        <v>0.84651399999999999</v>
      </c>
      <c r="C12">
        <v>0.99553599999999998</v>
      </c>
      <c r="D12">
        <v>0.937612</v>
      </c>
      <c r="E12">
        <v>0.866035</v>
      </c>
      <c r="F12">
        <v>0.92619600000000002</v>
      </c>
      <c r="G12">
        <v>1.1170199999999999</v>
      </c>
      <c r="H12">
        <v>1.4779899999999999</v>
      </c>
      <c r="I12">
        <v>1.8204199999999999</v>
      </c>
      <c r="J12">
        <v>2.2844500000000001</v>
      </c>
      <c r="K12">
        <v>2.39514</v>
      </c>
    </row>
    <row r="13" spans="1:11" x14ac:dyDescent="0.3">
      <c r="A13">
        <v>1936</v>
      </c>
      <c r="B13">
        <v>0.818106</v>
      </c>
      <c r="C13">
        <v>0.89481999999999995</v>
      </c>
      <c r="D13">
        <v>0.80427199999999999</v>
      </c>
      <c r="E13">
        <v>0.87440899999999999</v>
      </c>
      <c r="F13">
        <v>0.74728899999999998</v>
      </c>
      <c r="G13">
        <v>1.0754699999999999</v>
      </c>
      <c r="H13">
        <v>1.1602300000000001</v>
      </c>
      <c r="I13">
        <v>1.5280100000000001</v>
      </c>
      <c r="J13">
        <v>1.58748</v>
      </c>
      <c r="K13">
        <v>2.0295899999999998</v>
      </c>
    </row>
    <row r="14" spans="1:11" x14ac:dyDescent="0.3">
      <c r="A14">
        <v>1937</v>
      </c>
      <c r="B14">
        <v>1.67658</v>
      </c>
      <c r="C14">
        <v>1.5933200000000001</v>
      </c>
      <c r="D14">
        <v>1.6314</v>
      </c>
      <c r="E14">
        <v>1.71909</v>
      </c>
      <c r="F14">
        <v>1.5325599999999999</v>
      </c>
      <c r="G14">
        <v>1.3806499999999999</v>
      </c>
      <c r="H14">
        <v>1.7057599999999999</v>
      </c>
      <c r="I14">
        <v>2.1821999999999999</v>
      </c>
      <c r="J14">
        <v>2.1789399999999999</v>
      </c>
      <c r="K14">
        <v>3.1407500000000002</v>
      </c>
    </row>
    <row r="15" spans="1:11" x14ac:dyDescent="0.3">
      <c r="A15">
        <v>1938</v>
      </c>
      <c r="B15">
        <v>1.6288</v>
      </c>
      <c r="C15">
        <v>1.8565799999999999</v>
      </c>
      <c r="D15">
        <v>1.5658799999999999</v>
      </c>
      <c r="E15">
        <v>1.78596</v>
      </c>
      <c r="F15">
        <v>1.7240599999999999</v>
      </c>
      <c r="G15">
        <v>1.5020800000000001</v>
      </c>
      <c r="H15">
        <v>1.9272100000000001</v>
      </c>
      <c r="I15">
        <v>2.1495500000000001</v>
      </c>
      <c r="J15">
        <v>2.5542799999999999</v>
      </c>
      <c r="K15">
        <v>3.4877099999999999</v>
      </c>
    </row>
    <row r="16" spans="1:11" x14ac:dyDescent="0.3">
      <c r="A16">
        <v>1939</v>
      </c>
      <c r="B16">
        <v>1.0124500000000001</v>
      </c>
      <c r="C16">
        <v>1.45146</v>
      </c>
      <c r="D16">
        <v>1.27708</v>
      </c>
      <c r="E16">
        <v>1.18669</v>
      </c>
      <c r="F16">
        <v>1.38679</v>
      </c>
      <c r="G16">
        <v>1.3773500000000001</v>
      </c>
      <c r="H16">
        <v>1.9824600000000001</v>
      </c>
      <c r="I16">
        <v>1.97451</v>
      </c>
      <c r="J16">
        <v>2.3983599999999998</v>
      </c>
      <c r="K16">
        <v>3.04935</v>
      </c>
    </row>
    <row r="17" spans="1:11" x14ac:dyDescent="0.3">
      <c r="A17">
        <v>1940</v>
      </c>
      <c r="B17">
        <v>0.95855999999999997</v>
      </c>
      <c r="C17">
        <v>1.20289</v>
      </c>
      <c r="D17">
        <v>1.1318699999999999</v>
      </c>
      <c r="E17">
        <v>0.909717</v>
      </c>
      <c r="F17">
        <v>1.1482600000000001</v>
      </c>
      <c r="G17">
        <v>1.18604</v>
      </c>
      <c r="H17">
        <v>1.3926099999999999</v>
      </c>
      <c r="I17">
        <v>1.4771799999999999</v>
      </c>
      <c r="J17">
        <v>1.7209000000000001</v>
      </c>
      <c r="K17">
        <v>2.2124700000000002</v>
      </c>
    </row>
    <row r="18" spans="1:11" x14ac:dyDescent="0.3">
      <c r="A18">
        <v>1941</v>
      </c>
      <c r="B18">
        <v>0.71849700000000005</v>
      </c>
      <c r="C18">
        <v>0.67031799999999997</v>
      </c>
      <c r="D18">
        <v>0.65195999999999998</v>
      </c>
      <c r="E18">
        <v>0.74123700000000003</v>
      </c>
      <c r="F18">
        <v>0.76565099999999997</v>
      </c>
      <c r="G18">
        <v>0.92038799999999998</v>
      </c>
      <c r="H18">
        <v>0.95645400000000003</v>
      </c>
      <c r="I18">
        <v>1.02302</v>
      </c>
      <c r="J18">
        <v>1.1370899999999999</v>
      </c>
      <c r="K18">
        <v>1.8933599999999999</v>
      </c>
    </row>
    <row r="19" spans="1:11" x14ac:dyDescent="0.3">
      <c r="A19">
        <v>1942</v>
      </c>
      <c r="B19">
        <v>0.70866700000000005</v>
      </c>
      <c r="C19">
        <v>0.67107499999999998</v>
      </c>
      <c r="D19">
        <v>0.66703999999999997</v>
      </c>
      <c r="E19">
        <v>0.67202700000000004</v>
      </c>
      <c r="F19">
        <v>0.72886399999999996</v>
      </c>
      <c r="G19">
        <v>0.893015</v>
      </c>
      <c r="H19">
        <v>0.89975400000000005</v>
      </c>
      <c r="I19">
        <v>0.78042</v>
      </c>
      <c r="J19">
        <v>0.90093199999999996</v>
      </c>
      <c r="K19">
        <v>1.4370700000000001</v>
      </c>
    </row>
    <row r="20" spans="1:11" x14ac:dyDescent="0.3">
      <c r="A20">
        <v>1943</v>
      </c>
      <c r="B20">
        <v>0.53699699999999995</v>
      </c>
      <c r="C20">
        <v>0.67486100000000004</v>
      </c>
      <c r="D20">
        <v>0.58853</v>
      </c>
      <c r="E20">
        <v>0.65891200000000005</v>
      </c>
      <c r="F20">
        <v>0.77053499999999997</v>
      </c>
      <c r="G20">
        <v>0.86015399999999997</v>
      </c>
      <c r="H20">
        <v>1.0672299999999999</v>
      </c>
      <c r="I20">
        <v>0.99716700000000003</v>
      </c>
      <c r="J20">
        <v>1.3244499999999999</v>
      </c>
      <c r="K20">
        <v>1.77278</v>
      </c>
    </row>
    <row r="21" spans="1:11" x14ac:dyDescent="0.3">
      <c r="A21">
        <v>1944</v>
      </c>
      <c r="B21">
        <v>0.43487799999999999</v>
      </c>
      <c r="C21">
        <v>0.48463899999999999</v>
      </c>
      <c r="D21">
        <v>0.33424399999999999</v>
      </c>
      <c r="E21">
        <v>0.51529199999999997</v>
      </c>
      <c r="F21">
        <v>0.472997</v>
      </c>
      <c r="G21">
        <v>0.53365300000000004</v>
      </c>
      <c r="H21">
        <v>0.81063399999999997</v>
      </c>
      <c r="I21">
        <v>0.70638199999999995</v>
      </c>
      <c r="J21">
        <v>0.86958100000000005</v>
      </c>
      <c r="K21">
        <v>1.32548</v>
      </c>
    </row>
    <row r="22" spans="1:11" x14ac:dyDescent="0.3">
      <c r="A22">
        <v>1945</v>
      </c>
      <c r="B22">
        <v>0.60382400000000003</v>
      </c>
      <c r="C22">
        <v>0.71372000000000002</v>
      </c>
      <c r="D22">
        <v>0.59601899999999997</v>
      </c>
      <c r="E22">
        <v>0.64355499999999999</v>
      </c>
      <c r="F22">
        <v>0.67375799999999997</v>
      </c>
      <c r="G22">
        <v>0.64257399999999998</v>
      </c>
      <c r="H22">
        <v>0.84671700000000005</v>
      </c>
      <c r="I22">
        <v>0.849993</v>
      </c>
      <c r="J22">
        <v>0.98588699999999996</v>
      </c>
      <c r="K22">
        <v>1.48143</v>
      </c>
    </row>
    <row r="23" spans="1:11" x14ac:dyDescent="0.3">
      <c r="A23">
        <v>1946</v>
      </c>
      <c r="B23">
        <v>1.20228</v>
      </c>
      <c r="C23">
        <v>1.30291</v>
      </c>
      <c r="D23">
        <v>1.32338</v>
      </c>
      <c r="E23">
        <v>1.2823100000000001</v>
      </c>
      <c r="F23">
        <v>1.3097000000000001</v>
      </c>
      <c r="G23">
        <v>0.97397999999999996</v>
      </c>
      <c r="H23">
        <v>1.2165299999999999</v>
      </c>
      <c r="I23">
        <v>1.2544999999999999</v>
      </c>
      <c r="J23">
        <v>1.38554</v>
      </c>
      <c r="K23">
        <v>1.7997000000000001</v>
      </c>
    </row>
    <row r="24" spans="1:11" x14ac:dyDescent="0.3">
      <c r="A24">
        <v>1947</v>
      </c>
      <c r="B24">
        <v>0.69552499999999995</v>
      </c>
      <c r="C24">
        <v>0.88339199999999996</v>
      </c>
      <c r="D24">
        <v>0.80542899999999995</v>
      </c>
      <c r="E24">
        <v>0.85672700000000002</v>
      </c>
      <c r="F24">
        <v>0.77711399999999997</v>
      </c>
      <c r="G24">
        <v>0.60373900000000003</v>
      </c>
      <c r="H24">
        <v>0.76186399999999999</v>
      </c>
      <c r="I24">
        <v>0.81470200000000004</v>
      </c>
      <c r="J24">
        <v>0.88169200000000003</v>
      </c>
      <c r="K24">
        <v>1.26213</v>
      </c>
    </row>
    <row r="25" spans="1:11" x14ac:dyDescent="0.3">
      <c r="A25">
        <v>1948</v>
      </c>
      <c r="B25">
        <v>0.72524500000000003</v>
      </c>
      <c r="C25">
        <v>0.837229</v>
      </c>
      <c r="D25">
        <v>0.82482100000000003</v>
      </c>
      <c r="E25">
        <v>0.93314900000000001</v>
      </c>
      <c r="F25">
        <v>0.56685799999999997</v>
      </c>
      <c r="G25">
        <v>0.81731900000000002</v>
      </c>
      <c r="H25">
        <v>0.949766</v>
      </c>
      <c r="I25">
        <v>1.01675</v>
      </c>
      <c r="J25">
        <v>1.0888800000000001</v>
      </c>
      <c r="K25">
        <v>1.32751</v>
      </c>
    </row>
    <row r="26" spans="1:11" x14ac:dyDescent="0.3">
      <c r="A26">
        <v>1949</v>
      </c>
      <c r="B26">
        <v>0.55445800000000001</v>
      </c>
      <c r="C26">
        <v>0.58597200000000005</v>
      </c>
      <c r="D26">
        <v>0.51556599999999997</v>
      </c>
      <c r="E26">
        <v>0.70472500000000005</v>
      </c>
      <c r="F26">
        <v>0.48157800000000001</v>
      </c>
      <c r="G26">
        <v>0.61458299999999999</v>
      </c>
      <c r="H26">
        <v>0.74654200000000004</v>
      </c>
      <c r="I26">
        <v>0.78089900000000001</v>
      </c>
      <c r="J26">
        <v>0.77760799999999997</v>
      </c>
      <c r="K26">
        <v>1.06334</v>
      </c>
    </row>
    <row r="27" spans="1:11" x14ac:dyDescent="0.3">
      <c r="A27">
        <v>1950</v>
      </c>
      <c r="B27">
        <v>0.81328599999999995</v>
      </c>
      <c r="C27">
        <v>0.89721399999999996</v>
      </c>
      <c r="D27">
        <v>0.75247600000000003</v>
      </c>
      <c r="E27">
        <v>0.71778900000000001</v>
      </c>
      <c r="F27">
        <v>0.80464400000000003</v>
      </c>
      <c r="G27">
        <v>0.87402999999999997</v>
      </c>
      <c r="H27">
        <v>0.93031399999999997</v>
      </c>
      <c r="I27">
        <v>1.0139100000000001</v>
      </c>
      <c r="J27">
        <v>1.0865899999999999</v>
      </c>
      <c r="K27">
        <v>1.24186</v>
      </c>
    </row>
    <row r="28" spans="1:11" x14ac:dyDescent="0.3">
      <c r="A28">
        <v>1951</v>
      </c>
      <c r="B28">
        <v>0.569546</v>
      </c>
      <c r="C28">
        <v>0.54288800000000004</v>
      </c>
      <c r="D28">
        <v>0.549844</v>
      </c>
      <c r="E28">
        <v>0.488508</v>
      </c>
      <c r="F28">
        <v>0.65805899999999995</v>
      </c>
      <c r="G28">
        <v>0.68566300000000002</v>
      </c>
      <c r="H28">
        <v>0.76646199999999998</v>
      </c>
      <c r="I28">
        <v>0.76056599999999996</v>
      </c>
      <c r="J28">
        <v>0.87643499999999996</v>
      </c>
      <c r="K28">
        <v>1.0355399999999999</v>
      </c>
    </row>
    <row r="29" spans="1:11" x14ac:dyDescent="0.3">
      <c r="A29">
        <v>1952</v>
      </c>
      <c r="B29">
        <v>0.45373599999999997</v>
      </c>
      <c r="C29">
        <v>0.428479</v>
      </c>
      <c r="D29">
        <v>0.47253699999999998</v>
      </c>
      <c r="E29">
        <v>0.44759500000000002</v>
      </c>
      <c r="F29">
        <v>0.33602799999999999</v>
      </c>
      <c r="G29">
        <v>0.56393400000000005</v>
      </c>
      <c r="H29">
        <v>0.53183400000000003</v>
      </c>
      <c r="I29">
        <v>0.53646499999999997</v>
      </c>
      <c r="J29">
        <v>0.55309699999999995</v>
      </c>
      <c r="K29">
        <v>0.787435</v>
      </c>
    </row>
    <row r="30" spans="1:11" x14ac:dyDescent="0.3">
      <c r="A30">
        <v>1953</v>
      </c>
      <c r="B30">
        <v>0.58498600000000001</v>
      </c>
      <c r="C30">
        <v>0.48853099999999999</v>
      </c>
      <c r="D30">
        <v>0.56781599999999999</v>
      </c>
      <c r="E30">
        <v>0.49466300000000002</v>
      </c>
      <c r="F30">
        <v>0.48277399999999998</v>
      </c>
      <c r="G30">
        <v>0.54334099999999996</v>
      </c>
      <c r="H30">
        <v>0.62345300000000003</v>
      </c>
      <c r="I30">
        <v>0.63589700000000005</v>
      </c>
      <c r="J30">
        <v>0.719746</v>
      </c>
      <c r="K30">
        <v>0.95450400000000002</v>
      </c>
    </row>
    <row r="31" spans="1:11" x14ac:dyDescent="0.3">
      <c r="A31">
        <v>1954</v>
      </c>
      <c r="B31">
        <v>0.606352</v>
      </c>
      <c r="C31">
        <v>0.41400799999999999</v>
      </c>
      <c r="D31">
        <v>0.48497800000000002</v>
      </c>
      <c r="E31">
        <v>0.42583300000000002</v>
      </c>
      <c r="F31">
        <v>0.55403800000000003</v>
      </c>
      <c r="G31">
        <v>0.57677299999999998</v>
      </c>
      <c r="H31">
        <v>0.55021600000000004</v>
      </c>
      <c r="I31">
        <v>0.75007199999999996</v>
      </c>
      <c r="J31">
        <v>0.64619499999999996</v>
      </c>
      <c r="K31">
        <v>0.79167600000000005</v>
      </c>
    </row>
    <row r="32" spans="1:11" x14ac:dyDescent="0.3">
      <c r="A32">
        <v>1955</v>
      </c>
      <c r="B32">
        <v>0.91235500000000003</v>
      </c>
      <c r="C32">
        <v>0.74671600000000005</v>
      </c>
      <c r="D32">
        <v>0.839507</v>
      </c>
      <c r="E32">
        <v>0.67640100000000003</v>
      </c>
      <c r="F32">
        <v>0.80577900000000002</v>
      </c>
      <c r="G32">
        <v>0.71803099999999997</v>
      </c>
      <c r="H32">
        <v>0.929454</v>
      </c>
      <c r="I32">
        <v>0.97238199999999997</v>
      </c>
      <c r="J32">
        <v>0.99407699999999999</v>
      </c>
      <c r="K32">
        <v>1.08003</v>
      </c>
    </row>
    <row r="33" spans="1:11" x14ac:dyDescent="0.3">
      <c r="A33">
        <v>1956</v>
      </c>
      <c r="B33">
        <v>0.75607999999999997</v>
      </c>
      <c r="C33">
        <v>0.70532700000000004</v>
      </c>
      <c r="D33">
        <v>0.80432999999999999</v>
      </c>
      <c r="E33">
        <v>0.54541200000000001</v>
      </c>
      <c r="F33">
        <v>0.69288300000000003</v>
      </c>
      <c r="G33">
        <v>0.59109</v>
      </c>
      <c r="H33">
        <v>0.77387099999999998</v>
      </c>
      <c r="I33">
        <v>0.65732000000000002</v>
      </c>
      <c r="J33">
        <v>0.72563900000000003</v>
      </c>
      <c r="K33">
        <v>0.78601900000000002</v>
      </c>
    </row>
    <row r="34" spans="1:11" x14ac:dyDescent="0.3">
      <c r="A34">
        <v>1957</v>
      </c>
      <c r="B34">
        <v>0.90215800000000002</v>
      </c>
      <c r="C34">
        <v>0.89126899999999998</v>
      </c>
      <c r="D34">
        <v>0.91677500000000001</v>
      </c>
      <c r="E34">
        <v>0.78013699999999997</v>
      </c>
      <c r="F34">
        <v>0.70467199999999997</v>
      </c>
      <c r="G34">
        <v>0.636625</v>
      </c>
      <c r="H34">
        <v>0.90700199999999997</v>
      </c>
      <c r="I34">
        <v>0.802539</v>
      </c>
      <c r="J34">
        <v>0.82076099999999996</v>
      </c>
      <c r="K34">
        <v>1.0592900000000001</v>
      </c>
    </row>
    <row r="35" spans="1:11" x14ac:dyDescent="0.3">
      <c r="A35">
        <v>1958</v>
      </c>
      <c r="B35">
        <v>0.61202699999999999</v>
      </c>
      <c r="C35">
        <v>0.626695</v>
      </c>
      <c r="D35">
        <v>0.56565699999999997</v>
      </c>
      <c r="E35">
        <v>0.46412399999999998</v>
      </c>
      <c r="F35">
        <v>0.57017899999999999</v>
      </c>
      <c r="G35">
        <v>0.50197599999999998</v>
      </c>
      <c r="H35">
        <v>0.58289599999999997</v>
      </c>
      <c r="I35">
        <v>0.64510000000000001</v>
      </c>
      <c r="J35">
        <v>0.70972800000000003</v>
      </c>
      <c r="K35">
        <v>0.85992500000000005</v>
      </c>
    </row>
    <row r="36" spans="1:11" x14ac:dyDescent="0.3">
      <c r="A36">
        <v>1959</v>
      </c>
      <c r="B36">
        <v>0.67534700000000003</v>
      </c>
      <c r="C36">
        <v>0.61418799999999996</v>
      </c>
      <c r="D36">
        <v>0.60864700000000005</v>
      </c>
      <c r="E36">
        <v>0.52565700000000004</v>
      </c>
      <c r="F36">
        <v>0.55043699999999995</v>
      </c>
      <c r="G36">
        <v>0.58452499999999996</v>
      </c>
      <c r="H36">
        <v>0.65712999999999999</v>
      </c>
      <c r="I36">
        <v>0.67252699999999999</v>
      </c>
      <c r="J36">
        <v>0.69089699999999998</v>
      </c>
      <c r="K36">
        <v>0.81908499999999995</v>
      </c>
    </row>
    <row r="37" spans="1:11" x14ac:dyDescent="0.3">
      <c r="A37">
        <v>1960</v>
      </c>
      <c r="B37">
        <v>0.77667299999999995</v>
      </c>
      <c r="C37">
        <v>0.628305</v>
      </c>
      <c r="D37">
        <v>0.691998</v>
      </c>
      <c r="E37">
        <v>0.59525799999999995</v>
      </c>
      <c r="F37">
        <v>0.62211000000000005</v>
      </c>
      <c r="G37">
        <v>0.62914899999999996</v>
      </c>
      <c r="H37">
        <v>0.62760099999999996</v>
      </c>
      <c r="I37">
        <v>0.67788000000000004</v>
      </c>
      <c r="J37">
        <v>0.74821700000000002</v>
      </c>
      <c r="K37">
        <v>0.83557300000000001</v>
      </c>
    </row>
    <row r="38" spans="1:11" x14ac:dyDescent="0.3">
      <c r="A38">
        <v>1961</v>
      </c>
      <c r="B38">
        <v>0.56799900000000003</v>
      </c>
      <c r="C38">
        <v>0.44017699999999998</v>
      </c>
      <c r="D38">
        <v>0.55149700000000001</v>
      </c>
      <c r="E38">
        <v>0.52209399999999995</v>
      </c>
      <c r="F38">
        <v>0.58774999999999999</v>
      </c>
      <c r="G38">
        <v>0.52728200000000003</v>
      </c>
      <c r="H38">
        <v>0.471638</v>
      </c>
      <c r="I38">
        <v>0.54214399999999996</v>
      </c>
      <c r="J38">
        <v>0.54125500000000004</v>
      </c>
      <c r="K38">
        <v>0.733653</v>
      </c>
    </row>
    <row r="39" spans="1:11" x14ac:dyDescent="0.3">
      <c r="A39">
        <v>1962</v>
      </c>
      <c r="B39">
        <v>1.3217300000000001</v>
      </c>
      <c r="C39">
        <v>1.11568</v>
      </c>
      <c r="D39">
        <v>1.02518</v>
      </c>
      <c r="E39">
        <v>0.94359499999999996</v>
      </c>
      <c r="F39">
        <v>0.98464200000000002</v>
      </c>
      <c r="G39">
        <v>1.08422</v>
      </c>
      <c r="H39">
        <v>0.87034400000000001</v>
      </c>
      <c r="I39">
        <v>0.97705900000000001</v>
      </c>
      <c r="J39">
        <v>0.922462</v>
      </c>
      <c r="K39">
        <v>1.06985</v>
      </c>
    </row>
    <row r="40" spans="1:11" x14ac:dyDescent="0.3">
      <c r="A40">
        <v>1963</v>
      </c>
      <c r="B40">
        <v>0.59112799999999999</v>
      </c>
      <c r="C40">
        <v>0.61696899999999999</v>
      </c>
      <c r="D40">
        <v>0.54197600000000001</v>
      </c>
      <c r="E40">
        <v>0.48939100000000002</v>
      </c>
      <c r="F40">
        <v>0.52747699999999997</v>
      </c>
      <c r="G40">
        <v>0.62077000000000004</v>
      </c>
      <c r="H40">
        <v>0.54964299999999999</v>
      </c>
      <c r="I40">
        <v>0.75158899999999995</v>
      </c>
      <c r="J40">
        <v>0.64212400000000003</v>
      </c>
      <c r="K40">
        <v>0.68338500000000002</v>
      </c>
    </row>
    <row r="41" spans="1:11" x14ac:dyDescent="0.3">
      <c r="A41">
        <v>1964</v>
      </c>
      <c r="B41">
        <v>0.39299800000000001</v>
      </c>
      <c r="C41">
        <v>0.37071199999999999</v>
      </c>
      <c r="D41">
        <v>0.35270899999999999</v>
      </c>
      <c r="E41">
        <v>0.33213700000000002</v>
      </c>
      <c r="F41">
        <v>0.36975599999999997</v>
      </c>
      <c r="G41">
        <v>0.38812999999999998</v>
      </c>
      <c r="H41">
        <v>0.368396</v>
      </c>
      <c r="I41">
        <v>0.59421500000000005</v>
      </c>
      <c r="J41">
        <v>0.48463000000000001</v>
      </c>
      <c r="K41">
        <v>0.55188199999999998</v>
      </c>
    </row>
    <row r="42" spans="1:11" x14ac:dyDescent="0.3">
      <c r="A42">
        <v>1965</v>
      </c>
      <c r="B42">
        <v>0.51872200000000002</v>
      </c>
      <c r="C42">
        <v>0.40236499999999997</v>
      </c>
      <c r="D42">
        <v>0.391152</v>
      </c>
      <c r="E42">
        <v>0.41195199999999998</v>
      </c>
      <c r="F42">
        <v>0.46330100000000002</v>
      </c>
      <c r="G42">
        <v>0.49204999999999999</v>
      </c>
      <c r="H42">
        <v>0.51831799999999995</v>
      </c>
      <c r="I42">
        <v>0.51731799999999994</v>
      </c>
      <c r="J42">
        <v>0.60414100000000004</v>
      </c>
      <c r="K42">
        <v>0.64464999999999995</v>
      </c>
    </row>
    <row r="43" spans="1:11" x14ac:dyDescent="0.3">
      <c r="A43">
        <v>1966</v>
      </c>
      <c r="B43">
        <v>0.9123</v>
      </c>
      <c r="C43">
        <v>0.67625999999999997</v>
      </c>
      <c r="D43">
        <v>0.70268900000000001</v>
      </c>
      <c r="E43">
        <v>0.662219</v>
      </c>
      <c r="F43">
        <v>0.74218399999999995</v>
      </c>
      <c r="G43">
        <v>0.804373</v>
      </c>
      <c r="H43">
        <v>0.81028199999999995</v>
      </c>
      <c r="I43">
        <v>0.80222300000000002</v>
      </c>
      <c r="J43">
        <v>0.84650599999999998</v>
      </c>
      <c r="K43">
        <v>0.95238400000000001</v>
      </c>
    </row>
    <row r="44" spans="1:11" x14ac:dyDescent="0.3">
      <c r="A44">
        <v>1967</v>
      </c>
      <c r="B44">
        <v>0.69564499999999996</v>
      </c>
      <c r="C44">
        <v>0.47432999999999997</v>
      </c>
      <c r="D44">
        <v>0.58789899999999995</v>
      </c>
      <c r="E44">
        <v>0.44706899999999999</v>
      </c>
      <c r="F44">
        <v>0.52666400000000002</v>
      </c>
      <c r="G44">
        <v>0.55825400000000003</v>
      </c>
      <c r="H44">
        <v>0.56895600000000002</v>
      </c>
      <c r="I44">
        <v>0.60538199999999998</v>
      </c>
      <c r="J44">
        <v>0.68262100000000003</v>
      </c>
      <c r="K44">
        <v>0.64348499999999997</v>
      </c>
    </row>
    <row r="45" spans="1:11" x14ac:dyDescent="0.3">
      <c r="A45">
        <v>1968</v>
      </c>
      <c r="B45">
        <v>0.85873500000000003</v>
      </c>
      <c r="C45">
        <v>0.60883600000000004</v>
      </c>
      <c r="D45">
        <v>0.67039300000000002</v>
      </c>
      <c r="E45">
        <v>0.53773599999999999</v>
      </c>
      <c r="F45">
        <v>0.51844199999999996</v>
      </c>
      <c r="G45">
        <v>0.56423699999999999</v>
      </c>
      <c r="H45">
        <v>0.60126000000000002</v>
      </c>
      <c r="I45">
        <v>0.65157900000000002</v>
      </c>
      <c r="J45">
        <v>0.73478100000000002</v>
      </c>
      <c r="K45">
        <v>0.69911400000000001</v>
      </c>
    </row>
    <row r="46" spans="1:11" x14ac:dyDescent="0.3">
      <c r="A46">
        <v>1969</v>
      </c>
      <c r="B46">
        <v>0.80834300000000003</v>
      </c>
      <c r="C46">
        <v>0.80913100000000004</v>
      </c>
      <c r="D46">
        <v>0.70404500000000003</v>
      </c>
      <c r="E46">
        <v>0.699403</v>
      </c>
      <c r="F46">
        <v>0.669153</v>
      </c>
      <c r="G46">
        <v>0.75276100000000001</v>
      </c>
      <c r="H46">
        <v>0.68481199999999998</v>
      </c>
      <c r="I46">
        <v>0.68871400000000005</v>
      </c>
      <c r="J46">
        <v>0.72207200000000005</v>
      </c>
      <c r="K46">
        <v>0.68318400000000001</v>
      </c>
    </row>
    <row r="47" spans="1:11" x14ac:dyDescent="0.3">
      <c r="A47">
        <v>1970</v>
      </c>
      <c r="B47">
        <v>1.3143899999999999</v>
      </c>
      <c r="C47">
        <v>1.12157</v>
      </c>
      <c r="D47">
        <v>1.0507500000000001</v>
      </c>
      <c r="E47">
        <v>1.0367200000000001</v>
      </c>
      <c r="F47">
        <v>0.933249</v>
      </c>
      <c r="G47">
        <v>0.94130499999999995</v>
      </c>
      <c r="H47">
        <v>0.90479200000000004</v>
      </c>
      <c r="I47">
        <v>0.88935799999999998</v>
      </c>
      <c r="J47">
        <v>0.93810700000000002</v>
      </c>
      <c r="K47">
        <v>0.99541299999999999</v>
      </c>
    </row>
    <row r="48" spans="1:11" x14ac:dyDescent="0.3">
      <c r="A48">
        <v>1971</v>
      </c>
      <c r="B48">
        <v>0.74627299999999996</v>
      </c>
      <c r="C48">
        <v>0.67937999999999998</v>
      </c>
      <c r="D48">
        <v>0.71513300000000002</v>
      </c>
      <c r="E48">
        <v>0.69879400000000003</v>
      </c>
      <c r="F48">
        <v>0.619363</v>
      </c>
      <c r="G48">
        <v>0.62499800000000005</v>
      </c>
      <c r="H48">
        <v>0.62945600000000002</v>
      </c>
      <c r="I48">
        <v>0.630471</v>
      </c>
      <c r="J48">
        <v>0.89400800000000002</v>
      </c>
      <c r="K48">
        <v>0.99667799999999995</v>
      </c>
    </row>
    <row r="49" spans="1:11" x14ac:dyDescent="0.3">
      <c r="A49">
        <v>1972</v>
      </c>
      <c r="B49">
        <v>0.63956599999999997</v>
      </c>
      <c r="C49">
        <v>0.54106900000000002</v>
      </c>
      <c r="D49">
        <v>0.55452500000000005</v>
      </c>
      <c r="E49">
        <v>0.48539399999999999</v>
      </c>
      <c r="F49">
        <v>0.50147200000000003</v>
      </c>
      <c r="G49">
        <v>0.51273100000000005</v>
      </c>
      <c r="H49">
        <v>0.51939400000000002</v>
      </c>
      <c r="I49">
        <v>0.50188100000000002</v>
      </c>
      <c r="J49">
        <v>0.60608300000000004</v>
      </c>
      <c r="K49">
        <v>0.66965399999999997</v>
      </c>
    </row>
    <row r="50" spans="1:11" x14ac:dyDescent="0.3">
      <c r="A50">
        <v>1973</v>
      </c>
      <c r="B50">
        <v>1.1693800000000001</v>
      </c>
      <c r="C50">
        <v>1.1428199999999999</v>
      </c>
      <c r="D50">
        <v>1.02823</v>
      </c>
      <c r="E50">
        <v>1.01715</v>
      </c>
      <c r="F50">
        <v>0.96264300000000003</v>
      </c>
      <c r="G50">
        <v>0.98474700000000004</v>
      </c>
      <c r="H50">
        <v>0.90173599999999998</v>
      </c>
      <c r="I50">
        <v>0.86667300000000003</v>
      </c>
      <c r="J50">
        <v>0.94071099999999996</v>
      </c>
      <c r="K50">
        <v>1.1653500000000001</v>
      </c>
    </row>
    <row r="51" spans="1:11" x14ac:dyDescent="0.3">
      <c r="A51">
        <v>1974</v>
      </c>
      <c r="B51">
        <v>1.6974400000000001</v>
      </c>
      <c r="C51">
        <v>1.3833800000000001</v>
      </c>
      <c r="D51">
        <v>1.2742</v>
      </c>
      <c r="E51">
        <v>1.2964500000000001</v>
      </c>
      <c r="F51">
        <v>1.1605399999999999</v>
      </c>
      <c r="G51">
        <v>1.06843</v>
      </c>
      <c r="H51">
        <v>1.03434</v>
      </c>
      <c r="I51">
        <v>1.1617500000000001</v>
      </c>
      <c r="J51">
        <v>1.1471100000000001</v>
      </c>
      <c r="K51">
        <v>1.28376</v>
      </c>
    </row>
    <row r="52" spans="1:11" x14ac:dyDescent="0.3">
      <c r="A52">
        <v>1975</v>
      </c>
      <c r="B52">
        <v>1.1524700000000001</v>
      </c>
      <c r="C52">
        <v>0.95614299999999997</v>
      </c>
      <c r="D52">
        <v>0.85407900000000003</v>
      </c>
      <c r="E52">
        <v>0.99210500000000001</v>
      </c>
      <c r="F52">
        <v>0.77306399999999997</v>
      </c>
      <c r="G52">
        <v>0.76139599999999996</v>
      </c>
      <c r="H52">
        <v>0.85168600000000005</v>
      </c>
      <c r="I52">
        <v>0.96042499999999997</v>
      </c>
      <c r="J52">
        <v>0.97926899999999995</v>
      </c>
      <c r="K52">
        <v>1.15879</v>
      </c>
    </row>
    <row r="53" spans="1:11" x14ac:dyDescent="0.3">
      <c r="A53">
        <v>1976</v>
      </c>
      <c r="B53">
        <v>0.76712899999999995</v>
      </c>
      <c r="C53">
        <v>0.68970699999999996</v>
      </c>
      <c r="D53">
        <v>0.65543200000000001</v>
      </c>
      <c r="E53">
        <v>0.621506</v>
      </c>
      <c r="F53">
        <v>0.60647499999999999</v>
      </c>
      <c r="G53">
        <v>0.63574399999999998</v>
      </c>
      <c r="H53">
        <v>0.680836</v>
      </c>
      <c r="I53">
        <v>0.73666299999999996</v>
      </c>
      <c r="J53">
        <v>0.78109899999999999</v>
      </c>
      <c r="K53">
        <v>0.98698699999999995</v>
      </c>
    </row>
    <row r="54" spans="1:11" x14ac:dyDescent="0.3">
      <c r="A54">
        <v>1977</v>
      </c>
      <c r="B54">
        <v>0.67810000000000004</v>
      </c>
      <c r="C54">
        <v>0.648725</v>
      </c>
      <c r="D54">
        <v>0.56832899999999997</v>
      </c>
      <c r="E54">
        <v>0.51475700000000002</v>
      </c>
      <c r="F54">
        <v>0.45292900000000003</v>
      </c>
      <c r="G54">
        <v>0.46247500000000002</v>
      </c>
      <c r="H54">
        <v>0.47270099999999998</v>
      </c>
      <c r="I54">
        <v>0.49709599999999998</v>
      </c>
      <c r="J54">
        <v>0.49358200000000002</v>
      </c>
      <c r="K54">
        <v>0.63842500000000002</v>
      </c>
    </row>
    <row r="55" spans="1:11" x14ac:dyDescent="0.3">
      <c r="A55">
        <v>1978</v>
      </c>
      <c r="B55">
        <v>0.95530599999999999</v>
      </c>
      <c r="C55">
        <v>0.95856699999999995</v>
      </c>
      <c r="D55">
        <v>0.85606300000000002</v>
      </c>
      <c r="E55">
        <v>0.79363899999999998</v>
      </c>
      <c r="F55">
        <v>0.724047</v>
      </c>
      <c r="G55">
        <v>0.62278500000000003</v>
      </c>
      <c r="H55">
        <v>0.57505300000000004</v>
      </c>
      <c r="I55">
        <v>0.63349900000000003</v>
      </c>
      <c r="J55">
        <v>0.73962000000000006</v>
      </c>
      <c r="K55">
        <v>0.96095699999999995</v>
      </c>
    </row>
    <row r="56" spans="1:11" x14ac:dyDescent="0.3">
      <c r="A56">
        <v>1979</v>
      </c>
      <c r="B56">
        <v>0.75738899999999998</v>
      </c>
      <c r="C56">
        <v>0.75992800000000005</v>
      </c>
      <c r="D56">
        <v>0.76644500000000004</v>
      </c>
      <c r="E56">
        <v>0.70905799999999997</v>
      </c>
      <c r="F56">
        <v>0.71944600000000003</v>
      </c>
      <c r="G56">
        <v>0.62656900000000004</v>
      </c>
      <c r="H56">
        <v>0.62922299999999998</v>
      </c>
      <c r="I56">
        <v>0.63777700000000004</v>
      </c>
      <c r="J56">
        <v>0.73067199999999999</v>
      </c>
      <c r="K56">
        <v>0.84051900000000002</v>
      </c>
    </row>
    <row r="57" spans="1:11" x14ac:dyDescent="0.3">
      <c r="A57">
        <v>1980</v>
      </c>
      <c r="B57">
        <v>1.11551</v>
      </c>
      <c r="C57">
        <v>1.0827899999999999</v>
      </c>
      <c r="D57">
        <v>1.1454</v>
      </c>
      <c r="E57">
        <v>1.19407</v>
      </c>
      <c r="F57">
        <v>1.1609</v>
      </c>
      <c r="G57">
        <v>0.95105399999999995</v>
      </c>
      <c r="H57">
        <v>0.93410199999999999</v>
      </c>
      <c r="I57">
        <v>0.887378</v>
      </c>
      <c r="J57">
        <v>0.96004500000000004</v>
      </c>
      <c r="K57">
        <v>1.0948199999999999</v>
      </c>
    </row>
    <row r="58" spans="1:11" x14ac:dyDescent="0.3">
      <c r="A58">
        <v>1981</v>
      </c>
      <c r="B58">
        <v>1.10154</v>
      </c>
      <c r="C58">
        <v>0.91014300000000004</v>
      </c>
      <c r="D58">
        <v>0.92337499999999995</v>
      </c>
      <c r="E58">
        <v>0.92457599999999995</v>
      </c>
      <c r="F58">
        <v>0.88717599999999996</v>
      </c>
      <c r="G58">
        <v>0.75985400000000003</v>
      </c>
      <c r="H58">
        <v>0.75531800000000004</v>
      </c>
      <c r="I58">
        <v>0.66703599999999996</v>
      </c>
      <c r="J58">
        <v>0.69309900000000002</v>
      </c>
      <c r="K58">
        <v>0.73811199999999999</v>
      </c>
    </row>
    <row r="59" spans="1:11" x14ac:dyDescent="0.3">
      <c r="A59">
        <v>1982</v>
      </c>
      <c r="B59">
        <v>1.33955</v>
      </c>
      <c r="C59">
        <v>1.2478</v>
      </c>
      <c r="D59">
        <v>1.1425000000000001</v>
      </c>
      <c r="E59">
        <v>1.1686799999999999</v>
      </c>
      <c r="F59">
        <v>1.0360799999999999</v>
      </c>
      <c r="G59">
        <v>0.94174500000000005</v>
      </c>
      <c r="H59">
        <v>0.99562399999999995</v>
      </c>
      <c r="I59">
        <v>0.92070099999999999</v>
      </c>
      <c r="J59">
        <v>0.86647300000000005</v>
      </c>
      <c r="K59">
        <v>0.91187799999999997</v>
      </c>
    </row>
    <row r="60" spans="1:11" x14ac:dyDescent="0.3">
      <c r="A60">
        <v>1983</v>
      </c>
      <c r="B60">
        <v>0.90359500000000004</v>
      </c>
      <c r="C60">
        <v>0.882378</v>
      </c>
      <c r="D60">
        <v>0.77226799999999995</v>
      </c>
      <c r="E60">
        <v>0.823708</v>
      </c>
      <c r="F60">
        <v>0.85561100000000001</v>
      </c>
      <c r="G60">
        <v>0.78581599999999996</v>
      </c>
      <c r="H60">
        <v>0.76141700000000001</v>
      </c>
      <c r="I60">
        <v>0.70637399999999995</v>
      </c>
      <c r="J60">
        <v>0.68635299999999999</v>
      </c>
      <c r="K60">
        <v>0.77761999999999998</v>
      </c>
    </row>
    <row r="61" spans="1:11" x14ac:dyDescent="0.3">
      <c r="A61">
        <v>1984</v>
      </c>
      <c r="B61">
        <v>1.00284</v>
      </c>
      <c r="C61">
        <v>0.83447700000000002</v>
      </c>
      <c r="D61">
        <v>0.81208199999999997</v>
      </c>
      <c r="E61">
        <v>0.72772000000000003</v>
      </c>
      <c r="F61">
        <v>0.80388400000000004</v>
      </c>
      <c r="G61">
        <v>0.72796000000000005</v>
      </c>
      <c r="H61">
        <v>0.68838699999999997</v>
      </c>
      <c r="I61">
        <v>0.66574100000000003</v>
      </c>
      <c r="J61">
        <v>0.73555800000000005</v>
      </c>
      <c r="K61">
        <v>0.686392</v>
      </c>
    </row>
    <row r="62" spans="1:11" x14ac:dyDescent="0.3">
      <c r="A62">
        <v>1985</v>
      </c>
      <c r="B62">
        <v>0.76246599999999998</v>
      </c>
      <c r="C62">
        <v>0.68862299999999999</v>
      </c>
      <c r="D62">
        <v>0.61677899999999997</v>
      </c>
      <c r="E62">
        <v>0.59812900000000002</v>
      </c>
      <c r="F62">
        <v>0.62877499999999997</v>
      </c>
      <c r="G62">
        <v>0.59154399999999996</v>
      </c>
      <c r="H62">
        <v>0.58794800000000003</v>
      </c>
      <c r="I62">
        <v>0.53539400000000004</v>
      </c>
      <c r="J62">
        <v>0.54446300000000003</v>
      </c>
      <c r="K62">
        <v>0.51404399999999995</v>
      </c>
    </row>
    <row r="63" spans="1:11" x14ac:dyDescent="0.3">
      <c r="A63">
        <v>1986</v>
      </c>
      <c r="B63">
        <v>0.97831900000000005</v>
      </c>
      <c r="C63">
        <v>0.95526299999999997</v>
      </c>
      <c r="D63">
        <v>0.88266900000000004</v>
      </c>
      <c r="E63">
        <v>0.82644300000000004</v>
      </c>
      <c r="F63">
        <v>0.81263700000000005</v>
      </c>
      <c r="G63">
        <v>0.77297400000000005</v>
      </c>
      <c r="H63">
        <v>0.88172200000000001</v>
      </c>
      <c r="I63">
        <v>0.74831800000000004</v>
      </c>
      <c r="J63">
        <v>0.81351200000000001</v>
      </c>
      <c r="K63">
        <v>0.81223199999999995</v>
      </c>
    </row>
    <row r="64" spans="1:11" x14ac:dyDescent="0.3">
      <c r="A64">
        <v>1987</v>
      </c>
      <c r="B64">
        <v>2.0103</v>
      </c>
      <c r="C64">
        <v>2.0477300000000001</v>
      </c>
      <c r="D64">
        <v>1.81012</v>
      </c>
      <c r="E64">
        <v>1.8040099999999999</v>
      </c>
      <c r="F64">
        <v>1.7413400000000001</v>
      </c>
      <c r="G64">
        <v>1.4117999999999999</v>
      </c>
      <c r="H64">
        <v>1.3105899999999999</v>
      </c>
      <c r="I64">
        <v>1.20387</v>
      </c>
      <c r="J64">
        <v>1.3182400000000001</v>
      </c>
      <c r="K64">
        <v>1.2322900000000001</v>
      </c>
    </row>
    <row r="65" spans="1:11" x14ac:dyDescent="0.3">
      <c r="A65">
        <v>1988</v>
      </c>
      <c r="B65">
        <v>0.99233199999999999</v>
      </c>
      <c r="C65">
        <v>1.0514699999999999</v>
      </c>
      <c r="D65">
        <v>0.94022600000000001</v>
      </c>
      <c r="E65">
        <v>0.96424200000000004</v>
      </c>
      <c r="F65">
        <v>0.921628</v>
      </c>
      <c r="G65">
        <v>0.83429299999999995</v>
      </c>
      <c r="H65">
        <v>0.90313299999999996</v>
      </c>
      <c r="I65">
        <v>0.78342500000000004</v>
      </c>
      <c r="J65">
        <v>0.85521999999999998</v>
      </c>
      <c r="K65">
        <v>0.759598</v>
      </c>
    </row>
    <row r="66" spans="1:11" x14ac:dyDescent="0.3">
      <c r="A66">
        <v>1989</v>
      </c>
      <c r="B66">
        <v>0.82389699999999999</v>
      </c>
      <c r="C66">
        <v>0.81141099999999999</v>
      </c>
      <c r="D66">
        <v>0.76933399999999996</v>
      </c>
      <c r="E66">
        <v>0.71698899999999999</v>
      </c>
      <c r="F66">
        <v>0.68754199999999999</v>
      </c>
      <c r="G66">
        <v>0.74308300000000005</v>
      </c>
      <c r="H66">
        <v>0.71381399999999995</v>
      </c>
      <c r="I66">
        <v>0.670682</v>
      </c>
      <c r="J66">
        <v>0.69686499999999996</v>
      </c>
      <c r="K66">
        <v>0.60412699999999997</v>
      </c>
    </row>
    <row r="67" spans="1:11" x14ac:dyDescent="0.3">
      <c r="A67">
        <v>1990</v>
      </c>
      <c r="B67">
        <v>1.19648</v>
      </c>
      <c r="C67">
        <v>1.07701</v>
      </c>
      <c r="D67">
        <v>1.10225</v>
      </c>
      <c r="E67">
        <v>0.90419700000000003</v>
      </c>
      <c r="F67">
        <v>0.86472300000000002</v>
      </c>
      <c r="G67">
        <v>0.86759699999999995</v>
      </c>
      <c r="H67">
        <v>0.91459900000000005</v>
      </c>
      <c r="I67">
        <v>0.79735800000000001</v>
      </c>
      <c r="J67">
        <v>0.79851499999999997</v>
      </c>
      <c r="K67">
        <v>0.93998800000000005</v>
      </c>
    </row>
    <row r="68" spans="1:11" x14ac:dyDescent="0.3">
      <c r="A68">
        <v>1991</v>
      </c>
      <c r="B68">
        <v>0.99879399999999996</v>
      </c>
      <c r="C68">
        <v>0.91085799999999995</v>
      </c>
      <c r="D68">
        <v>0.91928799999999999</v>
      </c>
      <c r="E68">
        <v>0.78627899999999995</v>
      </c>
      <c r="F68">
        <v>0.81979400000000002</v>
      </c>
      <c r="G68">
        <v>0.78778099999999995</v>
      </c>
      <c r="H68">
        <v>0.76415</v>
      </c>
      <c r="I68">
        <v>0.78378499999999995</v>
      </c>
      <c r="J68">
        <v>0.84812100000000001</v>
      </c>
      <c r="K68">
        <v>1.0767800000000001</v>
      </c>
    </row>
    <row r="69" spans="1:11" x14ac:dyDescent="0.3">
      <c r="A69">
        <v>1992</v>
      </c>
      <c r="B69">
        <v>0.80315199999999998</v>
      </c>
      <c r="C69">
        <v>0.66047299999999998</v>
      </c>
      <c r="D69">
        <v>0.59893700000000005</v>
      </c>
      <c r="E69">
        <v>0.56175900000000001</v>
      </c>
      <c r="F69">
        <v>0.56859300000000002</v>
      </c>
      <c r="G69">
        <v>0.55273300000000003</v>
      </c>
      <c r="H69">
        <v>0.49413299999999999</v>
      </c>
      <c r="I69">
        <v>0.56110199999999999</v>
      </c>
      <c r="J69">
        <v>0.64371500000000004</v>
      </c>
      <c r="K69">
        <v>1.00227</v>
      </c>
    </row>
    <row r="70" spans="1:11" x14ac:dyDescent="0.3">
      <c r="A70">
        <v>1993</v>
      </c>
      <c r="B70">
        <v>0.80096100000000003</v>
      </c>
      <c r="C70">
        <v>0.60586799999999996</v>
      </c>
      <c r="D70">
        <v>0.59029299999999996</v>
      </c>
      <c r="E70">
        <v>0.57478499999999999</v>
      </c>
      <c r="F70">
        <v>0.514069</v>
      </c>
      <c r="G70">
        <v>0.51833899999999999</v>
      </c>
      <c r="H70">
        <v>0.52441000000000004</v>
      </c>
      <c r="I70">
        <v>0.50607199999999997</v>
      </c>
      <c r="J70">
        <v>0.58882100000000004</v>
      </c>
      <c r="K70">
        <v>0.767621</v>
      </c>
    </row>
    <row r="71" spans="1:11" x14ac:dyDescent="0.3">
      <c r="A71">
        <v>1994</v>
      </c>
      <c r="B71">
        <v>0.70542000000000005</v>
      </c>
      <c r="C71">
        <v>0.63614300000000001</v>
      </c>
      <c r="D71">
        <v>0.62654799999999999</v>
      </c>
      <c r="E71">
        <v>0.63693599999999995</v>
      </c>
      <c r="F71">
        <v>0.55174199999999995</v>
      </c>
      <c r="G71">
        <v>0.584874</v>
      </c>
      <c r="H71">
        <v>0.59611499999999995</v>
      </c>
      <c r="I71">
        <v>0.61014999999999997</v>
      </c>
      <c r="J71">
        <v>0.66939400000000004</v>
      </c>
      <c r="K71">
        <v>0.57171700000000003</v>
      </c>
    </row>
    <row r="72" spans="1:11" x14ac:dyDescent="0.3">
      <c r="A72">
        <v>1995</v>
      </c>
      <c r="B72">
        <v>0.58877599999999997</v>
      </c>
      <c r="C72">
        <v>0.544763</v>
      </c>
      <c r="D72">
        <v>0.58416400000000002</v>
      </c>
      <c r="E72">
        <v>0.50911399999999996</v>
      </c>
      <c r="F72">
        <v>0.49679499999999999</v>
      </c>
      <c r="G72">
        <v>0.47093000000000002</v>
      </c>
      <c r="H72">
        <v>0.48174800000000001</v>
      </c>
      <c r="I72">
        <v>0.55567900000000003</v>
      </c>
      <c r="J72">
        <v>0.519181</v>
      </c>
      <c r="K72">
        <v>0.45414599999999999</v>
      </c>
    </row>
    <row r="73" spans="1:11" x14ac:dyDescent="0.3">
      <c r="A73">
        <v>1996</v>
      </c>
      <c r="B73">
        <v>0.85522799999999999</v>
      </c>
      <c r="C73">
        <v>0.79930500000000004</v>
      </c>
      <c r="D73">
        <v>0.76008699999999996</v>
      </c>
      <c r="E73">
        <v>0.63987000000000005</v>
      </c>
      <c r="F73">
        <v>0.71062800000000004</v>
      </c>
      <c r="G73">
        <v>0.66331200000000001</v>
      </c>
      <c r="H73">
        <v>0.65319400000000005</v>
      </c>
      <c r="I73">
        <v>0.69574400000000003</v>
      </c>
      <c r="J73">
        <v>0.65659000000000001</v>
      </c>
      <c r="K73">
        <v>0.637212</v>
      </c>
    </row>
    <row r="74" spans="1:11" x14ac:dyDescent="0.3">
      <c r="A74">
        <v>1997</v>
      </c>
      <c r="B74">
        <v>1.26779</v>
      </c>
      <c r="C74">
        <v>1.06467</v>
      </c>
      <c r="D74">
        <v>1.05267</v>
      </c>
      <c r="E74">
        <v>1.03318</v>
      </c>
      <c r="F74">
        <v>0.98011000000000004</v>
      </c>
      <c r="G74">
        <v>0.96177599999999996</v>
      </c>
      <c r="H74">
        <v>0.89132900000000004</v>
      </c>
      <c r="I74">
        <v>0.89871599999999996</v>
      </c>
      <c r="J74">
        <v>0.78688499999999995</v>
      </c>
      <c r="K74">
        <v>0.84337700000000004</v>
      </c>
    </row>
    <row r="75" spans="1:11" x14ac:dyDescent="0.3">
      <c r="A75">
        <v>1998</v>
      </c>
      <c r="B75">
        <v>1.4198999999999999</v>
      </c>
      <c r="C75">
        <v>1.3193600000000001</v>
      </c>
      <c r="D75">
        <v>1.1777500000000001</v>
      </c>
      <c r="E75">
        <v>1.4026099999999999</v>
      </c>
      <c r="F75">
        <v>1.2942499999999999</v>
      </c>
      <c r="G75">
        <v>1.20089</v>
      </c>
      <c r="H75">
        <v>1.2069700000000001</v>
      </c>
      <c r="I75">
        <v>1.02579</v>
      </c>
      <c r="J75">
        <v>0.92705099999999996</v>
      </c>
      <c r="K75">
        <v>1.1169100000000001</v>
      </c>
    </row>
    <row r="76" spans="1:11" x14ac:dyDescent="0.3">
      <c r="A76">
        <v>1999</v>
      </c>
      <c r="B76">
        <v>1.34562</v>
      </c>
      <c r="C76">
        <v>1.2149300000000001</v>
      </c>
      <c r="D76">
        <v>1.0746</v>
      </c>
      <c r="E76">
        <v>1.1410899999999999</v>
      </c>
      <c r="F76">
        <v>1.03948</v>
      </c>
      <c r="G76">
        <v>0.896698</v>
      </c>
      <c r="H76">
        <v>0.95386199999999999</v>
      </c>
      <c r="I76">
        <v>0.79198599999999997</v>
      </c>
      <c r="J76">
        <v>0.721827</v>
      </c>
      <c r="K76">
        <v>0.82855000000000001</v>
      </c>
    </row>
    <row r="77" spans="1:11" x14ac:dyDescent="0.3">
      <c r="A77">
        <v>2000</v>
      </c>
      <c r="B77">
        <v>1.89476</v>
      </c>
      <c r="C77">
        <v>1.3752500000000001</v>
      </c>
      <c r="D77">
        <v>1.3898600000000001</v>
      </c>
      <c r="E77">
        <v>1.3314900000000001</v>
      </c>
      <c r="F77">
        <v>1.35625</v>
      </c>
      <c r="G77">
        <v>1.09297</v>
      </c>
      <c r="H77">
        <v>1.1240000000000001</v>
      </c>
      <c r="I77">
        <v>1.1736500000000001</v>
      </c>
      <c r="J77">
        <v>1.1108800000000001</v>
      </c>
      <c r="K77">
        <v>1.1837500000000001</v>
      </c>
    </row>
    <row r="78" spans="1:11" x14ac:dyDescent="0.3">
      <c r="A78">
        <v>2001</v>
      </c>
      <c r="B78">
        <v>1.7412399999999999</v>
      </c>
      <c r="C78">
        <v>1.31856</v>
      </c>
      <c r="D78">
        <v>1.22224</v>
      </c>
      <c r="E78">
        <v>1.2002200000000001</v>
      </c>
      <c r="F78">
        <v>1.2043699999999999</v>
      </c>
      <c r="G78">
        <v>1.0506200000000001</v>
      </c>
      <c r="H78">
        <v>1.20356</v>
      </c>
      <c r="I78">
        <v>1.1958500000000001</v>
      </c>
      <c r="J78">
        <v>1.2177100000000001</v>
      </c>
      <c r="K78">
        <v>1.3164199999999999</v>
      </c>
    </row>
    <row r="79" spans="1:11" x14ac:dyDescent="0.3">
      <c r="A79">
        <v>2002</v>
      </c>
      <c r="B79">
        <v>1.63368</v>
      </c>
      <c r="C79">
        <v>1.76579</v>
      </c>
      <c r="D79">
        <v>1.66347</v>
      </c>
      <c r="E79">
        <v>1.71827</v>
      </c>
      <c r="F79">
        <v>1.41153</v>
      </c>
      <c r="G79">
        <v>1.5776600000000001</v>
      </c>
      <c r="H79">
        <v>1.5299499999999999</v>
      </c>
      <c r="I79">
        <v>1.6822699999999999</v>
      </c>
      <c r="J79">
        <v>1.8365199999999999</v>
      </c>
      <c r="K79">
        <v>1.5758099999999999</v>
      </c>
    </row>
    <row r="80" spans="1:11" x14ac:dyDescent="0.3">
      <c r="A80">
        <v>2003</v>
      </c>
      <c r="B80">
        <v>1.02894</v>
      </c>
      <c r="C80">
        <v>1.1138699999999999</v>
      </c>
      <c r="D80">
        <v>1.1228800000000001</v>
      </c>
      <c r="E80">
        <v>1.08019</v>
      </c>
      <c r="F80">
        <v>0.90717300000000001</v>
      </c>
      <c r="G80">
        <v>1.0243899999999999</v>
      </c>
      <c r="H80">
        <v>0.98524299999999998</v>
      </c>
      <c r="I80">
        <v>1.14527</v>
      </c>
      <c r="J80">
        <v>1.26302</v>
      </c>
      <c r="K80">
        <v>1.27458</v>
      </c>
    </row>
    <row r="81" spans="1:11" x14ac:dyDescent="0.3">
      <c r="A81">
        <v>2004</v>
      </c>
      <c r="B81">
        <v>0.70613400000000004</v>
      </c>
      <c r="C81">
        <v>0.79364000000000001</v>
      </c>
      <c r="D81">
        <v>0.76602099999999995</v>
      </c>
      <c r="E81">
        <v>0.76429499999999995</v>
      </c>
      <c r="F81">
        <v>0.75050499999999998</v>
      </c>
      <c r="G81">
        <v>0.78929800000000006</v>
      </c>
      <c r="H81">
        <v>0.74994000000000005</v>
      </c>
      <c r="I81">
        <v>0.80745599999999995</v>
      </c>
      <c r="J81">
        <v>0.82963399999999998</v>
      </c>
      <c r="K81">
        <v>0.99217599999999995</v>
      </c>
    </row>
    <row r="82" spans="1:11" x14ac:dyDescent="0.3">
      <c r="A82">
        <v>2005</v>
      </c>
      <c r="B82">
        <v>0.62414700000000001</v>
      </c>
      <c r="C82">
        <v>0.700492</v>
      </c>
      <c r="D82">
        <v>0.76420699999999997</v>
      </c>
      <c r="E82">
        <v>0.705376</v>
      </c>
      <c r="F82">
        <v>0.73204199999999997</v>
      </c>
      <c r="G82">
        <v>0.73652200000000001</v>
      </c>
      <c r="H82">
        <v>0.69212799999999997</v>
      </c>
      <c r="I82">
        <v>0.68725499999999995</v>
      </c>
      <c r="J82">
        <v>0.73614400000000002</v>
      </c>
      <c r="K82">
        <v>0.73139299999999996</v>
      </c>
    </row>
    <row r="83" spans="1:11" x14ac:dyDescent="0.3">
      <c r="A83">
        <v>2006</v>
      </c>
      <c r="B83">
        <v>0.68204299999999995</v>
      </c>
      <c r="C83">
        <v>0.69931699999999997</v>
      </c>
      <c r="D83">
        <v>0.69166700000000003</v>
      </c>
      <c r="E83">
        <v>0.71539799999999998</v>
      </c>
      <c r="F83">
        <v>0.75739800000000002</v>
      </c>
      <c r="G83">
        <v>0.69932399999999995</v>
      </c>
      <c r="H83">
        <v>0.68698599999999999</v>
      </c>
      <c r="I83">
        <v>0.63910500000000003</v>
      </c>
      <c r="J83">
        <v>0.71259499999999998</v>
      </c>
      <c r="K83">
        <v>0.703681</v>
      </c>
    </row>
    <row r="84" spans="1:11" x14ac:dyDescent="0.3">
      <c r="A84">
        <v>2007</v>
      </c>
      <c r="B84">
        <v>0.98428800000000005</v>
      </c>
      <c r="C84">
        <v>0.954681</v>
      </c>
      <c r="D84">
        <v>0.93271000000000004</v>
      </c>
      <c r="E84">
        <v>1.00101</v>
      </c>
      <c r="F84">
        <v>1.1817500000000001</v>
      </c>
      <c r="G84">
        <v>1.04209</v>
      </c>
      <c r="H84">
        <v>1.18007</v>
      </c>
      <c r="I84">
        <v>0.99417800000000001</v>
      </c>
      <c r="J84">
        <v>1.14588</v>
      </c>
      <c r="K84">
        <v>1.04281</v>
      </c>
    </row>
    <row r="85" spans="1:11" x14ac:dyDescent="0.3">
      <c r="A85">
        <v>2008</v>
      </c>
      <c r="B85">
        <v>2.3702800000000002</v>
      </c>
      <c r="C85">
        <v>2.29196</v>
      </c>
      <c r="D85">
        <v>2.2458100000000001</v>
      </c>
      <c r="E85">
        <v>2.5483500000000001</v>
      </c>
      <c r="F85">
        <v>2.6707700000000001</v>
      </c>
      <c r="G85">
        <v>2.5461100000000001</v>
      </c>
      <c r="H85">
        <v>3.0115400000000001</v>
      </c>
      <c r="I85">
        <v>3.36497</v>
      </c>
      <c r="J85">
        <v>2.91282</v>
      </c>
      <c r="K85">
        <v>3.2491400000000001</v>
      </c>
    </row>
    <row r="86" spans="1:11" x14ac:dyDescent="0.3">
      <c r="A86">
        <v>2009</v>
      </c>
      <c r="B86">
        <v>1.4278500000000001</v>
      </c>
      <c r="C86">
        <v>1.4350400000000001</v>
      </c>
      <c r="D86">
        <v>1.5602799999999999</v>
      </c>
      <c r="E86">
        <v>1.7963800000000001</v>
      </c>
      <c r="F86">
        <v>1.8704799999999999</v>
      </c>
      <c r="G86">
        <v>2.04366</v>
      </c>
      <c r="H86">
        <v>2.16811</v>
      </c>
      <c r="I86">
        <v>2.8364199999999999</v>
      </c>
      <c r="J86">
        <v>2.9182399999999999</v>
      </c>
      <c r="K86">
        <v>3.1798700000000002</v>
      </c>
    </row>
    <row r="87" spans="1:11" x14ac:dyDescent="0.3">
      <c r="A87">
        <v>2010</v>
      </c>
      <c r="B87">
        <v>0.99025399999999997</v>
      </c>
      <c r="C87">
        <v>1.04623</v>
      </c>
      <c r="D87">
        <v>1.1099000000000001</v>
      </c>
      <c r="E87">
        <v>1.2238</v>
      </c>
      <c r="F87">
        <v>1.2556700000000001</v>
      </c>
      <c r="G87">
        <v>1.24088</v>
      </c>
      <c r="H87">
        <v>1.42109</v>
      </c>
      <c r="I87">
        <v>1.37175</v>
      </c>
      <c r="J87">
        <v>1.5353000000000001</v>
      </c>
      <c r="K87">
        <v>1.8586199999999999</v>
      </c>
    </row>
    <row r="88" spans="1:11" x14ac:dyDescent="0.3">
      <c r="A88">
        <v>2011</v>
      </c>
      <c r="B88">
        <v>1.3759600000000001</v>
      </c>
      <c r="C88">
        <v>1.5182100000000001</v>
      </c>
      <c r="D88">
        <v>1.2705599999999999</v>
      </c>
      <c r="E88">
        <v>1.5731999999999999</v>
      </c>
      <c r="F88">
        <v>1.4775799999999999</v>
      </c>
      <c r="G88">
        <v>1.68699</v>
      </c>
      <c r="H88">
        <v>1.41144</v>
      </c>
      <c r="I88">
        <v>1.61012</v>
      </c>
      <c r="J88">
        <v>1.9094800000000001</v>
      </c>
      <c r="K88">
        <v>2.26776</v>
      </c>
    </row>
    <row r="89" spans="1:11" x14ac:dyDescent="0.3">
      <c r="A89">
        <v>2012</v>
      </c>
      <c r="B89">
        <v>0.87978299999999998</v>
      </c>
      <c r="C89">
        <v>0.83391199999999999</v>
      </c>
      <c r="D89">
        <v>0.73387100000000005</v>
      </c>
      <c r="E89">
        <v>0.88705900000000004</v>
      </c>
      <c r="F89">
        <v>0.81598999999999999</v>
      </c>
      <c r="G89">
        <v>0.90787799999999996</v>
      </c>
      <c r="H89">
        <v>0.72884000000000004</v>
      </c>
      <c r="I89">
        <v>0.84526800000000002</v>
      </c>
      <c r="J89">
        <v>1.0058</v>
      </c>
      <c r="K89">
        <v>1.4312100000000001</v>
      </c>
    </row>
    <row r="90" spans="1:11" x14ac:dyDescent="0.3">
      <c r="A90">
        <v>2013</v>
      </c>
      <c r="B90">
        <v>0.72510699999999995</v>
      </c>
      <c r="C90">
        <v>0.660829</v>
      </c>
      <c r="D90">
        <v>0.71196199999999998</v>
      </c>
      <c r="E90">
        <v>0.70613800000000004</v>
      </c>
      <c r="F90">
        <v>0.72818400000000005</v>
      </c>
      <c r="G90">
        <v>0.72090699999999996</v>
      </c>
      <c r="H90">
        <v>0.73719800000000002</v>
      </c>
      <c r="I90">
        <v>0.78482799999999997</v>
      </c>
      <c r="J90">
        <v>0.84026900000000004</v>
      </c>
      <c r="K90">
        <v>1.0398499999999999</v>
      </c>
    </row>
    <row r="91" spans="1:11" x14ac:dyDescent="0.3">
      <c r="A91">
        <v>2014</v>
      </c>
      <c r="B91">
        <v>0.89219899999999996</v>
      </c>
      <c r="C91">
        <v>0.71893499999999999</v>
      </c>
      <c r="D91">
        <v>0.740205</v>
      </c>
      <c r="E91">
        <v>0.770621</v>
      </c>
      <c r="F91">
        <v>0.77511600000000003</v>
      </c>
      <c r="G91">
        <v>0.75775700000000001</v>
      </c>
      <c r="H91">
        <v>0.80771899999999996</v>
      </c>
      <c r="I91">
        <v>0.74686900000000001</v>
      </c>
      <c r="J91">
        <v>0.768988</v>
      </c>
      <c r="K91">
        <v>0.95600300000000005</v>
      </c>
    </row>
    <row r="92" spans="1:11" x14ac:dyDescent="0.3">
      <c r="A92">
        <v>2015</v>
      </c>
      <c r="B92">
        <v>1.0276099999999999</v>
      </c>
      <c r="C92">
        <v>0.95769000000000004</v>
      </c>
      <c r="D92">
        <v>0.986676</v>
      </c>
      <c r="E92">
        <v>0.97946500000000003</v>
      </c>
      <c r="F92">
        <v>0.98815900000000001</v>
      </c>
      <c r="G92">
        <v>1.0053300000000001</v>
      </c>
      <c r="H92">
        <v>1.01773</v>
      </c>
      <c r="I92">
        <v>1.00153</v>
      </c>
      <c r="J92">
        <v>1.1424000000000001</v>
      </c>
      <c r="K92">
        <v>1.27406</v>
      </c>
    </row>
    <row r="93" spans="1:11" x14ac:dyDescent="0.3">
      <c r="A93">
        <v>2016</v>
      </c>
      <c r="B93">
        <v>0.83554300000000004</v>
      </c>
      <c r="C93">
        <v>0.87677499999999997</v>
      </c>
      <c r="D93">
        <v>0.82600099999999999</v>
      </c>
      <c r="E93">
        <v>0.86346000000000001</v>
      </c>
      <c r="F93">
        <v>0.88080400000000003</v>
      </c>
      <c r="G93">
        <v>0.88949900000000004</v>
      </c>
      <c r="H93">
        <v>0.94208499999999995</v>
      </c>
      <c r="I93">
        <v>0.90535100000000002</v>
      </c>
      <c r="J93">
        <v>1.30541</v>
      </c>
      <c r="K93">
        <v>1.6142799999999999</v>
      </c>
    </row>
    <row r="94" spans="1:11" x14ac:dyDescent="0.3">
      <c r="A94">
        <v>2017</v>
      </c>
      <c r="B94">
        <v>0.440473</v>
      </c>
      <c r="C94">
        <v>0.577847</v>
      </c>
      <c r="D94">
        <v>0.456266</v>
      </c>
      <c r="E94">
        <v>0.47777999999999998</v>
      </c>
      <c r="F94">
        <v>0.50262300000000004</v>
      </c>
      <c r="G94">
        <v>0.51876699999999998</v>
      </c>
      <c r="H94">
        <v>0.50125500000000001</v>
      </c>
      <c r="I94">
        <v>0.60660800000000004</v>
      </c>
      <c r="J94">
        <v>0.74475899999999995</v>
      </c>
      <c r="K94">
        <v>0.95944799999999997</v>
      </c>
    </row>
    <row r="95" spans="1:11" x14ac:dyDescent="0.3">
      <c r="A95">
        <v>2018</v>
      </c>
      <c r="B95">
        <v>1.29942</v>
      </c>
      <c r="C95">
        <v>1.2082599999999999</v>
      </c>
      <c r="D95">
        <v>1.06253</v>
      </c>
      <c r="E95">
        <v>1.1219300000000001</v>
      </c>
      <c r="F95">
        <v>1.0834900000000001</v>
      </c>
      <c r="G95">
        <v>0.95080299999999995</v>
      </c>
      <c r="H95">
        <v>0.94016100000000002</v>
      </c>
      <c r="I95">
        <v>1.10989</v>
      </c>
      <c r="J95">
        <v>1.1358699999999999</v>
      </c>
      <c r="K95">
        <v>1.2468399999999999</v>
      </c>
    </row>
    <row r="96" spans="1:11" x14ac:dyDescent="0.3">
      <c r="A96">
        <v>2019</v>
      </c>
      <c r="B96">
        <v>0.94156200000000001</v>
      </c>
      <c r="C96">
        <v>0.87974399999999997</v>
      </c>
      <c r="D96">
        <v>0.83500200000000002</v>
      </c>
      <c r="E96">
        <v>0.83534699999999995</v>
      </c>
      <c r="F96">
        <v>0.828013</v>
      </c>
      <c r="G96">
        <v>0.73063400000000001</v>
      </c>
      <c r="H96">
        <v>0.82220400000000005</v>
      </c>
      <c r="I96">
        <v>0.88659900000000003</v>
      </c>
      <c r="J96">
        <v>1.1105499999999999</v>
      </c>
      <c r="K96">
        <v>1.2217800000000001</v>
      </c>
    </row>
    <row r="97" spans="1:11" x14ac:dyDescent="0.3">
      <c r="A97">
        <v>2020</v>
      </c>
      <c r="B97">
        <v>2.1101700000000001</v>
      </c>
      <c r="C97">
        <v>1.97089</v>
      </c>
      <c r="D97">
        <v>1.9675800000000001</v>
      </c>
      <c r="E97">
        <v>2.2355</v>
      </c>
      <c r="F97">
        <v>2.3302</v>
      </c>
      <c r="G97">
        <v>2.2798600000000002</v>
      </c>
      <c r="H97">
        <v>2.5244399999999998</v>
      </c>
      <c r="I97">
        <v>2.62059</v>
      </c>
      <c r="J97">
        <v>2.8600599999999998</v>
      </c>
      <c r="K97">
        <v>2.99905</v>
      </c>
    </row>
    <row r="98" spans="1:11" x14ac:dyDescent="0.3">
      <c r="A98">
        <v>2021</v>
      </c>
      <c r="B98">
        <v>1.1119699999999999</v>
      </c>
      <c r="C98">
        <v>0.85877800000000004</v>
      </c>
      <c r="D98">
        <v>0.87604899999999997</v>
      </c>
      <c r="E98">
        <v>0.83042000000000005</v>
      </c>
      <c r="F98">
        <v>0.91233399999999998</v>
      </c>
      <c r="G98">
        <v>1.03277</v>
      </c>
      <c r="H98">
        <v>1.0465500000000001</v>
      </c>
      <c r="I98">
        <v>1.1380999999999999</v>
      </c>
      <c r="J98">
        <v>1.4212100000000001</v>
      </c>
      <c r="K98">
        <v>1.5289900000000001</v>
      </c>
    </row>
    <row r="99" spans="1:11" x14ac:dyDescent="0.3">
      <c r="A99">
        <v>2022</v>
      </c>
      <c r="B99">
        <v>2.0266199999999999</v>
      </c>
      <c r="C99">
        <v>1.58233</v>
      </c>
      <c r="D99">
        <v>1.5132300000000001</v>
      </c>
      <c r="E99">
        <v>1.30494</v>
      </c>
      <c r="F99">
        <v>1.35985</v>
      </c>
      <c r="G99">
        <v>1.37513</v>
      </c>
      <c r="H99">
        <v>1.3541300000000001</v>
      </c>
      <c r="I99">
        <v>1.40432</v>
      </c>
      <c r="J99">
        <v>1.46787</v>
      </c>
      <c r="K99">
        <v>1.6438999999999999</v>
      </c>
    </row>
    <row r="100" spans="1:11" x14ac:dyDescent="0.3">
      <c r="A100">
        <v>2023</v>
      </c>
      <c r="B100">
        <v>1.04762</v>
      </c>
      <c r="C100">
        <v>0.92299799999999999</v>
      </c>
      <c r="D100">
        <v>0.89663999999999999</v>
      </c>
      <c r="E100">
        <v>0.86374300000000004</v>
      </c>
      <c r="F100">
        <v>0.89407800000000004</v>
      </c>
      <c r="G100">
        <v>0.90982700000000005</v>
      </c>
      <c r="H100">
        <v>0.88654999999999995</v>
      </c>
      <c r="I100">
        <v>1.1457299999999999</v>
      </c>
      <c r="J100">
        <v>1.1906300000000001</v>
      </c>
      <c r="K100">
        <v>1.3908</v>
      </c>
    </row>
    <row r="101" spans="1:11" x14ac:dyDescent="0.3">
      <c r="A101">
        <v>2024</v>
      </c>
      <c r="B101">
        <v>1.0985400000000001</v>
      </c>
      <c r="C101">
        <v>0.83516400000000002</v>
      </c>
      <c r="D101">
        <v>0.94884000000000002</v>
      </c>
      <c r="E101">
        <v>0.81607200000000002</v>
      </c>
      <c r="F101">
        <v>0.88827599999999995</v>
      </c>
      <c r="G101">
        <v>0.82772800000000002</v>
      </c>
      <c r="H101">
        <v>0.85218799999999995</v>
      </c>
      <c r="I101">
        <v>1.0066600000000001</v>
      </c>
      <c r="J101">
        <v>1.1609799999999999</v>
      </c>
      <c r="K101">
        <v>1.2441500000000001</v>
      </c>
    </row>
    <row r="102" spans="1:11" x14ac:dyDescent="0.3">
      <c r="A102">
        <v>2025</v>
      </c>
      <c r="B102">
        <v>1.49115</v>
      </c>
      <c r="C102">
        <v>1.25508</v>
      </c>
      <c r="D102">
        <v>1.2740400000000001</v>
      </c>
      <c r="E102">
        <v>1.17238</v>
      </c>
      <c r="F102">
        <v>1.1176299999999999</v>
      </c>
      <c r="G102">
        <v>1.10615</v>
      </c>
      <c r="H102">
        <v>1.0638300000000001</v>
      </c>
      <c r="I102">
        <v>1.19841</v>
      </c>
      <c r="J102">
        <v>1.3725400000000001</v>
      </c>
      <c r="K102">
        <v>1.54579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C659C-070E-4AE6-87BF-0FC0EE519E44}">
  <dimension ref="A1:K11"/>
  <sheetViews>
    <sheetView workbookViewId="0">
      <selection activeCell="H18" sqref="H18"/>
    </sheetView>
  </sheetViews>
  <sheetFormatPr defaultRowHeight="14.4" x14ac:dyDescent="0.3"/>
  <sheetData>
    <row r="1" spans="1:11" x14ac:dyDescent="0.3">
      <c r="A1" s="4"/>
      <c r="B1" s="4" t="s">
        <v>2</v>
      </c>
      <c r="C1" s="4" t="s">
        <v>3</v>
      </c>
      <c r="D1" s="4" t="s">
        <v>4</v>
      </c>
      <c r="E1" s="4" t="s">
        <v>5</v>
      </c>
      <c r="F1" s="4" t="s">
        <v>6</v>
      </c>
      <c r="G1" s="4" t="s">
        <v>7</v>
      </c>
      <c r="H1" s="4" t="s">
        <v>8</v>
      </c>
      <c r="I1" s="4" t="s">
        <v>9</v>
      </c>
      <c r="J1" s="4" t="s">
        <v>10</v>
      </c>
      <c r="K1" s="4" t="s">
        <v>11</v>
      </c>
    </row>
    <row r="2" spans="1:11" x14ac:dyDescent="0.3">
      <c r="A2" s="2" t="s">
        <v>2</v>
      </c>
      <c r="B2" s="2">
        <v>1</v>
      </c>
      <c r="C2" s="2"/>
      <c r="D2" s="2"/>
      <c r="E2" s="2"/>
      <c r="F2" s="2"/>
      <c r="G2" s="2"/>
      <c r="H2" s="2"/>
      <c r="I2" s="2"/>
      <c r="J2" s="2"/>
      <c r="K2" s="2"/>
    </row>
    <row r="3" spans="1:11" x14ac:dyDescent="0.3">
      <c r="A3" s="2" t="s">
        <v>3</v>
      </c>
      <c r="B3" s="2">
        <v>0.94104924387032518</v>
      </c>
      <c r="C3" s="2">
        <v>1</v>
      </c>
      <c r="D3" s="2"/>
      <c r="E3" s="2"/>
      <c r="F3" s="2"/>
      <c r="G3" s="2"/>
      <c r="H3" s="2"/>
      <c r="I3" s="2"/>
      <c r="J3" s="2"/>
      <c r="K3" s="2"/>
    </row>
    <row r="4" spans="1:11" x14ac:dyDescent="0.3">
      <c r="A4" s="2" t="s">
        <v>4</v>
      </c>
      <c r="B4" s="2">
        <v>0.95524572727754287</v>
      </c>
      <c r="C4" s="2">
        <v>0.97185812483191381</v>
      </c>
      <c r="D4" s="2">
        <v>1</v>
      </c>
      <c r="E4" s="2"/>
      <c r="F4" s="2"/>
      <c r="G4" s="2"/>
      <c r="H4" s="2"/>
      <c r="I4" s="2"/>
      <c r="J4" s="2"/>
      <c r="K4" s="2"/>
    </row>
    <row r="5" spans="1:11" x14ac:dyDescent="0.3">
      <c r="A5" s="2" t="s">
        <v>5</v>
      </c>
      <c r="B5" s="2">
        <v>0.92013571071281686</v>
      </c>
      <c r="C5" s="2">
        <v>0.96512465202981734</v>
      </c>
      <c r="D5" s="2">
        <v>0.95640990533563053</v>
      </c>
      <c r="E5" s="2">
        <v>1</v>
      </c>
      <c r="F5" s="2"/>
      <c r="G5" s="2"/>
      <c r="H5" s="2"/>
      <c r="I5" s="2"/>
      <c r="J5" s="2"/>
      <c r="K5" s="2"/>
    </row>
    <row r="6" spans="1:11" x14ac:dyDescent="0.3">
      <c r="A6" s="2" t="s">
        <v>6</v>
      </c>
      <c r="B6" s="2">
        <v>0.90819592153076611</v>
      </c>
      <c r="C6" s="2">
        <v>0.9441765866310009</v>
      </c>
      <c r="D6" s="2">
        <v>0.94717911995609072</v>
      </c>
      <c r="E6" s="2">
        <v>0.96299434777306225</v>
      </c>
      <c r="F6" s="2">
        <v>1</v>
      </c>
      <c r="G6" s="2"/>
      <c r="H6" s="2"/>
      <c r="I6" s="2"/>
      <c r="J6" s="2"/>
      <c r="K6" s="2"/>
    </row>
    <row r="7" spans="1:11" x14ac:dyDescent="0.3">
      <c r="A7" s="2" t="s">
        <v>7</v>
      </c>
      <c r="B7" s="2">
        <v>0.85790634501219476</v>
      </c>
      <c r="C7" s="2">
        <v>0.90407480682952046</v>
      </c>
      <c r="D7" s="2">
        <v>0.90715517898116216</v>
      </c>
      <c r="E7" s="2">
        <v>0.94450759021187392</v>
      </c>
      <c r="F7" s="2">
        <v>0.95534066147442931</v>
      </c>
      <c r="G7" s="2">
        <v>1</v>
      </c>
      <c r="H7" s="2"/>
      <c r="I7" s="2"/>
      <c r="J7" s="2"/>
      <c r="K7" s="2"/>
    </row>
    <row r="8" spans="1:11" x14ac:dyDescent="0.3">
      <c r="A8" s="2" t="s">
        <v>8</v>
      </c>
      <c r="B8" s="2">
        <v>0.79537285755382181</v>
      </c>
      <c r="C8" s="2">
        <v>0.87140264323026395</v>
      </c>
      <c r="D8" s="2">
        <v>0.87113370828491843</v>
      </c>
      <c r="E8" s="2">
        <v>0.91293326742473169</v>
      </c>
      <c r="F8" s="2">
        <v>0.93105577556372299</v>
      </c>
      <c r="G8" s="2">
        <v>0.96254127023490044</v>
      </c>
      <c r="H8" s="2">
        <v>1</v>
      </c>
      <c r="I8" s="2"/>
      <c r="J8" s="2"/>
      <c r="K8" s="2"/>
    </row>
    <row r="9" spans="1:11" x14ac:dyDescent="0.3">
      <c r="A9" s="2" t="s">
        <v>9</v>
      </c>
      <c r="B9" s="2">
        <v>0.7633021079885981</v>
      </c>
      <c r="C9" s="2">
        <v>0.83656756627769568</v>
      </c>
      <c r="D9" s="2">
        <v>0.83684739801130947</v>
      </c>
      <c r="E9" s="2">
        <v>0.87763354817666295</v>
      </c>
      <c r="F9" s="2">
        <v>0.89839759445876466</v>
      </c>
      <c r="G9" s="2">
        <v>0.94550392184290089</v>
      </c>
      <c r="H9" s="2">
        <v>0.96609923002739828</v>
      </c>
      <c r="I9" s="2">
        <v>1</v>
      </c>
      <c r="J9" s="2"/>
      <c r="K9" s="2"/>
    </row>
    <row r="10" spans="1:11" x14ac:dyDescent="0.3">
      <c r="A10" s="2" t="s">
        <v>10</v>
      </c>
      <c r="B10" s="2">
        <v>0.71761180899825283</v>
      </c>
      <c r="C10" s="2">
        <v>0.80669909324667632</v>
      </c>
      <c r="D10" s="2">
        <v>0.80125204150995599</v>
      </c>
      <c r="E10" s="2">
        <v>0.84248405817396044</v>
      </c>
      <c r="F10" s="2">
        <v>0.86896520278336975</v>
      </c>
      <c r="G10" s="2">
        <v>0.91717498183164514</v>
      </c>
      <c r="H10" s="2">
        <v>0.94861268554625999</v>
      </c>
      <c r="I10" s="2">
        <v>0.97425854292525937</v>
      </c>
      <c r="J10" s="2">
        <v>1</v>
      </c>
      <c r="K10" s="2"/>
    </row>
    <row r="11" spans="1:11" ht="15" thickBot="1" x14ac:dyDescent="0.35">
      <c r="A11" s="3" t="s">
        <v>11</v>
      </c>
      <c r="B11" s="3">
        <v>0.61487858856444155</v>
      </c>
      <c r="C11" s="3">
        <v>0.71885685188197457</v>
      </c>
      <c r="D11" s="3">
        <v>0.70345860706978003</v>
      </c>
      <c r="E11" s="3">
        <v>0.76328163323103548</v>
      </c>
      <c r="F11" s="3">
        <v>0.78055090833876151</v>
      </c>
      <c r="G11" s="3">
        <v>0.83952036542169228</v>
      </c>
      <c r="H11" s="3">
        <v>0.88913745502742159</v>
      </c>
      <c r="I11" s="3">
        <v>0.92167267707957101</v>
      </c>
      <c r="J11" s="3">
        <v>0.95748453245083109</v>
      </c>
      <c r="K11" s="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4FA5-9ED6-0345-9A13-7C3AEF0626CA}">
  <dimension ref="A3:K102"/>
  <sheetViews>
    <sheetView topLeftCell="A94" zoomScaleNormal="150" zoomScaleSheetLayoutView="100" workbookViewId="0">
      <selection activeCell="K16" sqref="K16"/>
    </sheetView>
  </sheetViews>
  <sheetFormatPr defaultRowHeight="14.4" x14ac:dyDescent="0.3"/>
  <sheetData>
    <row r="3" spans="1:11" x14ac:dyDescent="0.3">
      <c r="A3" t="str">
        <f>'SDs by Year For Deciles'!A3</f>
        <v>Year</v>
      </c>
      <c r="B3" t="str">
        <f>'SDs by Year For Deciles'!B3</f>
        <v xml:space="preserve"> Lo 10</v>
      </c>
      <c r="C3" t="str">
        <f>'SDs by Year For Deciles'!C3</f>
        <v xml:space="preserve"> Dec 2</v>
      </c>
      <c r="D3" t="str">
        <f>'SDs by Year For Deciles'!D3</f>
        <v xml:space="preserve"> Dec 3</v>
      </c>
      <c r="E3" t="str">
        <f>'SDs by Year For Deciles'!E3</f>
        <v xml:space="preserve"> Dec 4</v>
      </c>
      <c r="F3" t="str">
        <f>'SDs by Year For Deciles'!F3</f>
        <v xml:space="preserve"> Dec 5</v>
      </c>
      <c r="G3" t="str">
        <f>'SDs by Year For Deciles'!G3</f>
        <v xml:space="preserve"> Dec 6</v>
      </c>
      <c r="H3" t="str">
        <f>'SDs by Year For Deciles'!H3</f>
        <v xml:space="preserve"> Dec 7</v>
      </c>
      <c r="I3" t="str">
        <f>'SDs by Year For Deciles'!I3</f>
        <v xml:space="preserve"> Dec 8</v>
      </c>
      <c r="J3" t="str">
        <f>'SDs by Year For Deciles'!J3</f>
        <v xml:space="preserve"> Dec 9</v>
      </c>
      <c r="K3" t="str">
        <f>'SDs by Year For Deciles'!K3</f>
        <v xml:space="preserve"> Hi 10</v>
      </c>
    </row>
    <row r="4" spans="1:11" x14ac:dyDescent="0.3">
      <c r="A4">
        <f>'SDs by Year For Deciles'!A4</f>
        <v>1927</v>
      </c>
      <c r="B4">
        <f>LN('SDs by Year For Deciles'!B4)</f>
        <v>-0.34741226105955086</v>
      </c>
      <c r="C4">
        <f>LN('SDs by Year For Deciles'!C4)</f>
        <v>-0.57779732490882729</v>
      </c>
      <c r="D4">
        <f>LN('SDs by Year For Deciles'!D4)</f>
        <v>-0.41574274251929855</v>
      </c>
      <c r="E4">
        <f>LN('SDs by Year For Deciles'!E4)</f>
        <v>-0.75311589253228028</v>
      </c>
      <c r="F4">
        <f>LN('SDs by Year For Deciles'!F4)</f>
        <v>-0.66265677356194652</v>
      </c>
      <c r="G4">
        <f>LN('SDs by Year For Deciles'!G4)</f>
        <v>-0.67026303152274813</v>
      </c>
      <c r="H4">
        <f>LN('SDs by Year For Deciles'!H4)</f>
        <v>-0.47194791815101839</v>
      </c>
      <c r="I4">
        <f>LN('SDs by Year For Deciles'!I4)</f>
        <v>-0.4130699517682227</v>
      </c>
      <c r="J4">
        <f>LN('SDs by Year For Deciles'!J4)</f>
        <v>-0.13475270955708912</v>
      </c>
      <c r="K4">
        <f>LN('SDs by Year For Deciles'!K4)</f>
        <v>0.19601898391755218</v>
      </c>
    </row>
    <row r="5" spans="1:11" x14ac:dyDescent="0.3">
      <c r="A5">
        <f>'SDs by Year For Deciles'!A5</f>
        <v>1928</v>
      </c>
      <c r="B5">
        <f>LN('SDs by Year For Deciles'!B5)</f>
        <v>5.0550518597901162E-2</v>
      </c>
      <c r="C5">
        <f>LN('SDs by Year For Deciles'!C5)</f>
        <v>-5.8476929758975837E-2</v>
      </c>
      <c r="D5">
        <f>LN('SDs by Year For Deciles'!D5)</f>
        <v>-0.28620050385009427</v>
      </c>
      <c r="E5">
        <f>LN('SDs by Year For Deciles'!E5)</f>
        <v>-0.20491078305315005</v>
      </c>
      <c r="F5">
        <f>LN('SDs by Year For Deciles'!F5)</f>
        <v>-0.1182060000932309</v>
      </c>
      <c r="G5">
        <f>LN('SDs by Year For Deciles'!G5)</f>
        <v>-0.32876660143119157</v>
      </c>
      <c r="H5">
        <f>LN('SDs by Year For Deciles'!H5)</f>
        <v>-0.42158381936327255</v>
      </c>
      <c r="I5">
        <f>LN('SDs by Year For Deciles'!I5)</f>
        <v>-0.16608528137738332</v>
      </c>
      <c r="J5">
        <f>LN('SDs by Year For Deciles'!J5)</f>
        <v>0.18197149552965927</v>
      </c>
      <c r="K5">
        <f>LN('SDs by Year For Deciles'!K5)</f>
        <v>0.27688903662249492</v>
      </c>
    </row>
    <row r="6" spans="1:11" x14ac:dyDescent="0.3">
      <c r="A6">
        <f>'SDs by Year For Deciles'!A6</f>
        <v>1929</v>
      </c>
      <c r="B6">
        <f>LN('SDs by Year For Deciles'!B6)</f>
        <v>0.81611232144096479</v>
      </c>
      <c r="C6">
        <f>LN('SDs by Year For Deciles'!C6)</f>
        <v>0.70430470325582228</v>
      </c>
      <c r="D6">
        <f>LN('SDs by Year For Deciles'!D6)</f>
        <v>0.82154039532834433</v>
      </c>
      <c r="E6">
        <f>LN('SDs by Year For Deciles'!E6)</f>
        <v>0.59369141969638195</v>
      </c>
      <c r="F6">
        <f>LN('SDs by Year For Deciles'!F6)</f>
        <v>0.50430239368864604</v>
      </c>
      <c r="G6">
        <f>LN('SDs by Year For Deciles'!G6)</f>
        <v>0.56534789937806951</v>
      </c>
      <c r="H6">
        <f>LN('SDs by Year For Deciles'!H6)</f>
        <v>0.48855547464026267</v>
      </c>
      <c r="I6">
        <f>LN('SDs by Year For Deciles'!I6)</f>
        <v>0.43088591078831856</v>
      </c>
      <c r="J6">
        <f>LN('SDs by Year For Deciles'!J6)</f>
        <v>0.55185431692261078</v>
      </c>
      <c r="K6">
        <f>LN('SDs by Year For Deciles'!K6)</f>
        <v>0.73429392234409929</v>
      </c>
    </row>
    <row r="7" spans="1:11" x14ac:dyDescent="0.3">
      <c r="A7">
        <f>'SDs by Year For Deciles'!A7</f>
        <v>1930</v>
      </c>
      <c r="B7">
        <f>LN('SDs by Year For Deciles'!B7)</f>
        <v>0.56702824765087667</v>
      </c>
      <c r="C7">
        <f>LN('SDs by Year For Deciles'!C7)</f>
        <v>0.45280660441721399</v>
      </c>
      <c r="D7">
        <f>LN('SDs by Year For Deciles'!D7)</f>
        <v>0.38954573122594804</v>
      </c>
      <c r="E7">
        <f>LN('SDs by Year For Deciles'!E7)</f>
        <v>0.22927670501765696</v>
      </c>
      <c r="F7">
        <f>LN('SDs by Year For Deciles'!F7)</f>
        <v>0.11978103831905659</v>
      </c>
      <c r="G7">
        <f>LN('SDs by Year For Deciles'!G7)</f>
        <v>0.32525238598299006</v>
      </c>
      <c r="H7">
        <f>LN('SDs by Year For Deciles'!H7)</f>
        <v>0.12835803385052519</v>
      </c>
      <c r="I7">
        <f>LN('SDs by Year For Deciles'!I7)</f>
        <v>0.30358740928543632</v>
      </c>
      <c r="J7">
        <f>LN('SDs by Year For Deciles'!J7)</f>
        <v>0.49801390303865484</v>
      </c>
      <c r="K7">
        <f>LN('SDs by Year For Deciles'!K7)</f>
        <v>0.6782264175493723</v>
      </c>
    </row>
    <row r="8" spans="1:11" x14ac:dyDescent="0.3">
      <c r="A8">
        <f>'SDs by Year For Deciles'!A8</f>
        <v>1931</v>
      </c>
      <c r="B8">
        <f>LN('SDs by Year For Deciles'!B8)</f>
        <v>0.7177617413238645</v>
      </c>
      <c r="C8">
        <f>LN('SDs by Year For Deciles'!C8)</f>
        <v>0.61772834960612277</v>
      </c>
      <c r="D8">
        <f>LN('SDs by Year For Deciles'!D8)</f>
        <v>0.57009214731372826</v>
      </c>
      <c r="E8">
        <f>LN('SDs by Year For Deciles'!E8)</f>
        <v>0.80478246859305735</v>
      </c>
      <c r="F8">
        <f>LN('SDs by Year For Deciles'!F8)</f>
        <v>0.79123078359539534</v>
      </c>
      <c r="G8">
        <f>LN('SDs by Year For Deciles'!G8)</f>
        <v>0.9255477531368318</v>
      </c>
      <c r="H8">
        <f>LN('SDs by Year For Deciles'!H8)</f>
        <v>0.94309623269448584</v>
      </c>
      <c r="I8">
        <f>LN('SDs by Year For Deciles'!I8)</f>
        <v>0.95493435546635952</v>
      </c>
      <c r="J8">
        <f>LN('SDs by Year For Deciles'!J8)</f>
        <v>1.0842124400431701</v>
      </c>
      <c r="K8">
        <f>LN('SDs by Year For Deciles'!K8)</f>
        <v>1.043691369768353</v>
      </c>
    </row>
    <row r="9" spans="1:11" x14ac:dyDescent="0.3">
      <c r="A9">
        <f>'SDs by Year For Deciles'!A9</f>
        <v>1932</v>
      </c>
      <c r="B9">
        <f>LN('SDs by Year For Deciles'!B9)</f>
        <v>1.0537753003922292</v>
      </c>
      <c r="C9">
        <f>LN('SDs by Year For Deciles'!C9)</f>
        <v>0.88961405232400814</v>
      </c>
      <c r="D9">
        <f>LN('SDs by Year For Deciles'!D9)</f>
        <v>0.89946191840718148</v>
      </c>
      <c r="E9">
        <f>LN('SDs by Year For Deciles'!E9)</f>
        <v>1.2175058186085204</v>
      </c>
      <c r="F9">
        <f>LN('SDs by Year For Deciles'!F9)</f>
        <v>1.1277179138067635</v>
      </c>
      <c r="G9">
        <f>LN('SDs by Year For Deciles'!G9)</f>
        <v>1.3545043716302607</v>
      </c>
      <c r="H9">
        <f>LN('SDs by Year For Deciles'!H9)</f>
        <v>1.3089596501778953</v>
      </c>
      <c r="I9">
        <f>LN('SDs by Year For Deciles'!I9)</f>
        <v>1.2946970301539706</v>
      </c>
      <c r="J9">
        <f>LN('SDs by Year For Deciles'!J9)</f>
        <v>1.2358318715496441</v>
      </c>
      <c r="K9">
        <f>LN('SDs by Year For Deciles'!K9)</f>
        <v>1.3212730567946018</v>
      </c>
    </row>
    <row r="10" spans="1:11" x14ac:dyDescent="0.3">
      <c r="A10">
        <f>'SDs by Year For Deciles'!A10</f>
        <v>1933</v>
      </c>
      <c r="B10">
        <f>LN('SDs by Year For Deciles'!B10)</f>
        <v>0.89540207506134994</v>
      </c>
      <c r="C10">
        <f>LN('SDs by Year For Deciles'!C10)</f>
        <v>0.78093367373605982</v>
      </c>
      <c r="D10">
        <f>LN('SDs by Year For Deciles'!D10)</f>
        <v>0.84018692320926025</v>
      </c>
      <c r="E10">
        <f>LN('SDs by Year For Deciles'!E10)</f>
        <v>1.1804011632122084</v>
      </c>
      <c r="F10">
        <f>LN('SDs by Year For Deciles'!F10)</f>
        <v>1.1491596382413256</v>
      </c>
      <c r="G10">
        <f>LN('SDs by Year For Deciles'!G10)</f>
        <v>1.1974948677276969</v>
      </c>
      <c r="H10">
        <f>LN('SDs by Year For Deciles'!H10)</f>
        <v>1.2883093571608919</v>
      </c>
      <c r="I10">
        <f>LN('SDs by Year For Deciles'!I10)</f>
        <v>1.3451754475235291</v>
      </c>
      <c r="J10">
        <f>LN('SDs by Year For Deciles'!J10)</f>
        <v>1.3715841952036023</v>
      </c>
      <c r="K10">
        <f>LN('SDs by Year For Deciles'!K10)</f>
        <v>1.4684709443069561</v>
      </c>
    </row>
    <row r="11" spans="1:11" x14ac:dyDescent="0.3">
      <c r="A11">
        <f>'SDs by Year For Deciles'!A11</f>
        <v>1934</v>
      </c>
      <c r="B11">
        <f>LN('SDs by Year For Deciles'!B11)</f>
        <v>0.23605187921492243</v>
      </c>
      <c r="C11">
        <f>LN('SDs by Year For Deciles'!C11)</f>
        <v>0.25193312573704629</v>
      </c>
      <c r="D11">
        <f>LN('SDs by Year For Deciles'!D11)</f>
        <v>0.20039884033107513</v>
      </c>
      <c r="E11">
        <f>LN('SDs by Year For Deciles'!E11)</f>
        <v>0.22366341616106086</v>
      </c>
      <c r="F11">
        <f>LN('SDs by Year For Deciles'!F11)</f>
        <v>0.4359296489119841</v>
      </c>
      <c r="G11">
        <f>LN('SDs by Year For Deciles'!G11)</f>
        <v>0.56771433457267895</v>
      </c>
      <c r="H11">
        <f>LN('SDs by Year For Deciles'!H11)</f>
        <v>0.70231007275177981</v>
      </c>
      <c r="I11">
        <f>LN('SDs by Year For Deciles'!I11)</f>
        <v>0.81039229378421829</v>
      </c>
      <c r="J11">
        <f>LN('SDs by Year For Deciles'!J11)</f>
        <v>0.91346273686310819</v>
      </c>
      <c r="K11">
        <f>LN('SDs by Year For Deciles'!K11)</f>
        <v>0.998088206735114</v>
      </c>
    </row>
    <row r="12" spans="1:11" x14ac:dyDescent="0.3">
      <c r="A12">
        <f>'SDs by Year For Deciles'!A12</f>
        <v>1935</v>
      </c>
      <c r="B12">
        <f>LN('SDs by Year For Deciles'!B12)</f>
        <v>-0.16662853885699141</v>
      </c>
      <c r="C12">
        <f>LN('SDs by Year For Deciles'!C12)</f>
        <v>-4.473993399446605E-3</v>
      </c>
      <c r="D12">
        <f>LN('SDs by Year For Deciles'!D12)</f>
        <v>-6.4419061606478423E-2</v>
      </c>
      <c r="E12">
        <f>LN('SDs by Year For Deciles'!E12)</f>
        <v>-0.14382995553200648</v>
      </c>
      <c r="F12">
        <f>LN('SDs by Year For Deciles'!F12)</f>
        <v>-7.6669403666469543E-2</v>
      </c>
      <c r="G12">
        <f>LN('SDs by Year For Deciles'!G12)</f>
        <v>0.11066442502972347</v>
      </c>
      <c r="H12">
        <f>LN('SDs by Year For Deciles'!H12)</f>
        <v>0.39068305660325647</v>
      </c>
      <c r="I12">
        <f>LN('SDs by Year For Deciles'!I12)</f>
        <v>0.59906724369635</v>
      </c>
      <c r="J12">
        <f>LN('SDs by Year For Deciles'!J12)</f>
        <v>0.82612529515440269</v>
      </c>
      <c r="K12">
        <f>LN('SDs by Year For Deciles'!K12)</f>
        <v>0.87344168426926749</v>
      </c>
    </row>
    <row r="13" spans="1:11" x14ac:dyDescent="0.3">
      <c r="A13">
        <f>'SDs by Year For Deciles'!A13</f>
        <v>1936</v>
      </c>
      <c r="B13">
        <f>LN('SDs by Year For Deciles'!B13)</f>
        <v>-0.20076336642263864</v>
      </c>
      <c r="C13">
        <f>LN('SDs by Year For Deciles'!C13)</f>
        <v>-0.1111326982525174</v>
      </c>
      <c r="D13">
        <f>LN('SDs by Year For Deciles'!D13)</f>
        <v>-0.21781775855886204</v>
      </c>
      <c r="E13">
        <f>LN('SDs by Year For Deciles'!E13)</f>
        <v>-0.13420704940059183</v>
      </c>
      <c r="F13">
        <f>LN('SDs by Year For Deciles'!F13)</f>
        <v>-0.29130328781166132</v>
      </c>
      <c r="G13">
        <f>LN('SDs by Year For Deciles'!G13)</f>
        <v>7.2757775333813293E-2</v>
      </c>
      <c r="H13">
        <f>LN('SDs by Year For Deciles'!H13)</f>
        <v>0.1486182613262815</v>
      </c>
      <c r="I13">
        <f>LN('SDs by Year For Deciles'!I13)</f>
        <v>0.42396623522553145</v>
      </c>
      <c r="J13">
        <f>LN('SDs by Year For Deciles'!J13)</f>
        <v>0.46214785328015201</v>
      </c>
      <c r="K13">
        <f>LN('SDs by Year For Deciles'!K13)</f>
        <v>0.70783380221156944</v>
      </c>
    </row>
    <row r="14" spans="1:11" x14ac:dyDescent="0.3">
      <c r="A14">
        <f>'SDs by Year For Deciles'!A14</f>
        <v>1937</v>
      </c>
      <c r="B14">
        <f>LN('SDs by Year For Deciles'!B14)</f>
        <v>0.51675600424673629</v>
      </c>
      <c r="C14">
        <f>LN('SDs by Year For Deciles'!C14)</f>
        <v>0.46581988959940457</v>
      </c>
      <c r="D14">
        <f>LN('SDs by Year For Deciles'!D14)</f>
        <v>0.48943854188434294</v>
      </c>
      <c r="E14">
        <f>LN('SDs by Year For Deciles'!E14)</f>
        <v>0.54179508105112595</v>
      </c>
      <c r="F14">
        <f>LN('SDs by Year For Deciles'!F14)</f>
        <v>0.4269395397747085</v>
      </c>
      <c r="G14">
        <f>LN('SDs by Year For Deciles'!G14)</f>
        <v>0.32255440276936065</v>
      </c>
      <c r="H14">
        <f>LN('SDs by Year For Deciles'!H14)</f>
        <v>0.53401075922002794</v>
      </c>
      <c r="I14">
        <f>LN('SDs by Year For Deciles'!I14)</f>
        <v>0.78033354223886131</v>
      </c>
      <c r="J14">
        <f>LN('SDs by Year For Deciles'!J14)</f>
        <v>0.77883852001659837</v>
      </c>
      <c r="K14">
        <f>LN('SDs by Year For Deciles'!K14)</f>
        <v>1.1444616249023902</v>
      </c>
    </row>
    <row r="15" spans="1:11" x14ac:dyDescent="0.3">
      <c r="A15">
        <f>'SDs by Year For Deciles'!A15</f>
        <v>1938</v>
      </c>
      <c r="B15">
        <f>LN('SDs by Year For Deciles'!B15)</f>
        <v>0.48784354737406654</v>
      </c>
      <c r="C15">
        <f>LN('SDs by Year For Deciles'!C15)</f>
        <v>0.61873608554605397</v>
      </c>
      <c r="D15">
        <f>LN('SDs by Year For Deciles'!D15)</f>
        <v>0.44844796628001871</v>
      </c>
      <c r="E15">
        <f>LN('SDs by Year For Deciles'!E15)</f>
        <v>0.57995608578693048</v>
      </c>
      <c r="F15">
        <f>LN('SDs by Year For Deciles'!F15)</f>
        <v>0.54468197442012123</v>
      </c>
      <c r="G15">
        <f>LN('SDs by Year For Deciles'!G15)</f>
        <v>0.40685081424046698</v>
      </c>
      <c r="H15">
        <f>LN('SDs by Year For Deciles'!H15)</f>
        <v>0.65607336118011428</v>
      </c>
      <c r="I15">
        <f>LN('SDs by Year For Deciles'!I15)</f>
        <v>0.76525851790720145</v>
      </c>
      <c r="J15">
        <f>LN('SDs by Year For Deciles'!J15)</f>
        <v>0.93777038355108699</v>
      </c>
      <c r="K15">
        <f>LN('SDs by Year For Deciles'!K15)</f>
        <v>1.2492453603883937</v>
      </c>
    </row>
    <row r="16" spans="1:11" x14ac:dyDescent="0.3">
      <c r="A16">
        <f>'SDs by Year For Deciles'!A16</f>
        <v>1939</v>
      </c>
      <c r="B16">
        <f>LN('SDs by Year For Deciles'!B16)</f>
        <v>1.2373136063141376E-2</v>
      </c>
      <c r="C16">
        <f>LN('SDs by Year For Deciles'!C16)</f>
        <v>0.37256994640389501</v>
      </c>
      <c r="D16">
        <f>LN('SDs by Year For Deciles'!D16)</f>
        <v>0.24457622191667594</v>
      </c>
      <c r="E16">
        <f>LN('SDs by Year For Deciles'!E16)</f>
        <v>0.17116791892386501</v>
      </c>
      <c r="F16">
        <f>LN('SDs by Year For Deciles'!F16)</f>
        <v>0.32699172395762199</v>
      </c>
      <c r="G16">
        <f>LN('SDs by Year For Deciles'!G16)</f>
        <v>0.3201613631937078</v>
      </c>
      <c r="H16">
        <f>LN('SDs by Year For Deciles'!H16)</f>
        <v>0.68433849777855016</v>
      </c>
      <c r="I16">
        <f>LN('SDs by Year For Deciles'!I16)</f>
        <v>0.68032026630505182</v>
      </c>
      <c r="J16">
        <f>LN('SDs by Year For Deciles'!J16)</f>
        <v>0.87478517044193016</v>
      </c>
      <c r="K16">
        <f>LN('SDs by Year For Deciles'!K16)</f>
        <v>1.1149284531530457</v>
      </c>
    </row>
    <row r="17" spans="1:11" x14ac:dyDescent="0.3">
      <c r="A17">
        <f>'SDs by Year For Deciles'!A17</f>
        <v>1940</v>
      </c>
      <c r="B17">
        <f>LN('SDs by Year For Deciles'!B17)</f>
        <v>-4.2323120646522307E-2</v>
      </c>
      <c r="C17">
        <f>LN('SDs by Year For Deciles'!C17)</f>
        <v>0.18472699474033857</v>
      </c>
      <c r="D17">
        <f>LN('SDs by Year For Deciles'!D17)</f>
        <v>0.12387113219686051</v>
      </c>
      <c r="E17">
        <f>LN('SDs by Year For Deciles'!E17)</f>
        <v>-9.4621716849340842E-2</v>
      </c>
      <c r="F17">
        <f>LN('SDs by Year For Deciles'!F17)</f>
        <v>0.13824775309069876</v>
      </c>
      <c r="G17">
        <f>LN('SDs by Year For Deciles'!G17)</f>
        <v>0.17062002681961372</v>
      </c>
      <c r="H17">
        <f>LN('SDs by Year For Deciles'!H17)</f>
        <v>0.33117968431339534</v>
      </c>
      <c r="I17">
        <f>LN('SDs by Year For Deciles'!I17)</f>
        <v>0.39013486477653608</v>
      </c>
      <c r="J17">
        <f>LN('SDs by Year For Deciles'!J17)</f>
        <v>0.54284740978872825</v>
      </c>
      <c r="K17">
        <f>LN('SDs by Year For Deciles'!K17)</f>
        <v>0.79410953848598531</v>
      </c>
    </row>
    <row r="18" spans="1:11" x14ac:dyDescent="0.3">
      <c r="A18">
        <f>'SDs by Year For Deciles'!A18</f>
        <v>1941</v>
      </c>
      <c r="B18">
        <f>LN('SDs by Year For Deciles'!B18)</f>
        <v>-0.33059374883711867</v>
      </c>
      <c r="C18">
        <f>LN('SDs by Year For Deciles'!C18)</f>
        <v>-0.40000305233115735</v>
      </c>
      <c r="D18">
        <f>LN('SDs by Year For Deciles'!D18)</f>
        <v>-0.42777206863070505</v>
      </c>
      <c r="E18">
        <f>LN('SDs by Year For Deciles'!E18)</f>
        <v>-0.2994348667666577</v>
      </c>
      <c r="F18">
        <f>LN('SDs by Year For Deciles'!F18)</f>
        <v>-0.26702882664197186</v>
      </c>
      <c r="G18">
        <f>LN('SDs by Year For Deciles'!G18)</f>
        <v>-8.2959958715567217E-2</v>
      </c>
      <c r="H18">
        <f>LN('SDs by Year For Deciles'!H18)</f>
        <v>-4.4522583260377828E-2</v>
      </c>
      <c r="I18">
        <f>LN('SDs by Year For Deciles'!I18)</f>
        <v>2.2759037120515007E-2</v>
      </c>
      <c r="J18">
        <f>LN('SDs by Year For Deciles'!J18)</f>
        <v>0.1284723673085772</v>
      </c>
      <c r="K18">
        <f>LN('SDs by Year For Deciles'!K18)</f>
        <v>0.63835302847280673</v>
      </c>
    </row>
    <row r="19" spans="1:11" x14ac:dyDescent="0.3">
      <c r="A19">
        <f>'SDs by Year For Deciles'!A19</f>
        <v>1942</v>
      </c>
      <c r="B19">
        <f>LN('SDs by Year For Deciles'!B19)</f>
        <v>-0.34436953838157791</v>
      </c>
      <c r="C19">
        <f>LN('SDs by Year For Deciles'!C19)</f>
        <v>-0.39887437478421522</v>
      </c>
      <c r="D19">
        <f>LN('SDs by Year For Deciles'!D19)</f>
        <v>-0.40490526484965034</v>
      </c>
      <c r="E19">
        <f>LN('SDs by Year For Deciles'!E19)</f>
        <v>-0.39745676069469604</v>
      </c>
      <c r="F19">
        <f>LN('SDs by Year For Deciles'!F19)</f>
        <v>-0.31626812130468479</v>
      </c>
      <c r="G19">
        <f>LN('SDs by Year For Deciles'!G19)</f>
        <v>-0.11315190093428126</v>
      </c>
      <c r="H19">
        <f>LN('SDs by Year For Deciles'!H19)</f>
        <v>-0.10563388635352354</v>
      </c>
      <c r="I19">
        <f>LN('SDs by Year For Deciles'!I19)</f>
        <v>-0.24792304267843263</v>
      </c>
      <c r="J19">
        <f>LN('SDs by Year For Deciles'!J19)</f>
        <v>-0.10432549592004431</v>
      </c>
      <c r="K19">
        <f>LN('SDs by Year For Deciles'!K19)</f>
        <v>0.36260631850615344</v>
      </c>
    </row>
    <row r="20" spans="1:11" x14ac:dyDescent="0.3">
      <c r="A20">
        <f>'SDs by Year For Deciles'!A20</f>
        <v>1943</v>
      </c>
      <c r="B20">
        <f>LN('SDs by Year For Deciles'!B20)</f>
        <v>-0.62176277108105626</v>
      </c>
      <c r="C20">
        <f>LN('SDs by Year For Deciles'!C20)</f>
        <v>-0.3932485352411878</v>
      </c>
      <c r="D20">
        <f>LN('SDs by Year For Deciles'!D20)</f>
        <v>-0.53012737652076902</v>
      </c>
      <c r="E20">
        <f>LN('SDs by Year For Deciles'!E20)</f>
        <v>-0.41716528905640088</v>
      </c>
      <c r="F20">
        <f>LN('SDs by Year For Deciles'!F20)</f>
        <v>-0.26067020020498322</v>
      </c>
      <c r="G20">
        <f>LN('SDs by Year For Deciles'!G20)</f>
        <v>-0.15064383599821884</v>
      </c>
      <c r="H20">
        <f>LN('SDs by Year For Deciles'!H20)</f>
        <v>6.5066506728644669E-2</v>
      </c>
      <c r="I20">
        <f>LN('SDs by Year For Deciles'!I20)</f>
        <v>-2.8370205397547942E-3</v>
      </c>
      <c r="J20">
        <f>LN('SDs by Year For Deciles'!J20)</f>
        <v>0.28099727892305931</v>
      </c>
      <c r="K20">
        <f>LN('SDs by Year For Deciles'!K20)</f>
        <v>0.57254893591874234</v>
      </c>
    </row>
    <row r="21" spans="1:11" x14ac:dyDescent="0.3">
      <c r="A21">
        <f>'SDs by Year For Deciles'!A21</f>
        <v>1944</v>
      </c>
      <c r="B21">
        <f>LN('SDs by Year For Deciles'!B21)</f>
        <v>-0.83268974699976428</v>
      </c>
      <c r="C21">
        <f>LN('SDs by Year For Deciles'!C21)</f>
        <v>-0.72435099509259526</v>
      </c>
      <c r="D21">
        <f>LN('SDs by Year For Deciles'!D21)</f>
        <v>-1.0958840137969508</v>
      </c>
      <c r="E21">
        <f>LN('SDs by Year For Deciles'!E21)</f>
        <v>-0.66302154870540153</v>
      </c>
      <c r="F21">
        <f>LN('SDs by Year For Deciles'!F21)</f>
        <v>-0.74866623300503232</v>
      </c>
      <c r="G21">
        <f>LN('SDs by Year For Deciles'!G21)</f>
        <v>-0.62800946397582635</v>
      </c>
      <c r="H21">
        <f>LN('SDs by Year For Deciles'!H21)</f>
        <v>-0.20993862142872849</v>
      </c>
      <c r="I21">
        <f>LN('SDs by Year For Deciles'!I21)</f>
        <v>-0.34759911133074434</v>
      </c>
      <c r="J21">
        <f>LN('SDs by Year For Deciles'!J21)</f>
        <v>-0.13974379253986791</v>
      </c>
      <c r="K21">
        <f>LN('SDs by Year For Deciles'!K21)</f>
        <v>0.28177465798731438</v>
      </c>
    </row>
    <row r="22" spans="1:11" x14ac:dyDescent="0.3">
      <c r="A22">
        <f>'SDs by Year For Deciles'!A22</f>
        <v>1945</v>
      </c>
      <c r="B22">
        <f>LN('SDs by Year For Deciles'!B22)</f>
        <v>-0.50447251423832618</v>
      </c>
      <c r="C22">
        <f>LN('SDs by Year For Deciles'!C22)</f>
        <v>-0.33726455041890901</v>
      </c>
      <c r="D22">
        <f>LN('SDs by Year For Deciles'!D22)</f>
        <v>-0.51748273323028715</v>
      </c>
      <c r="E22">
        <f>LN('SDs by Year For Deciles'!E22)</f>
        <v>-0.44074778551284527</v>
      </c>
      <c r="F22">
        <f>LN('SDs by Year For Deciles'!F22)</f>
        <v>-0.39488428298897843</v>
      </c>
      <c r="G22">
        <f>LN('SDs by Year For Deciles'!G22)</f>
        <v>-0.44227329374762825</v>
      </c>
      <c r="H22">
        <f>LN('SDs by Year For Deciles'!H22)</f>
        <v>-0.16638876058577778</v>
      </c>
      <c r="I22">
        <f>LN('SDs by Year For Deciles'!I22)</f>
        <v>-0.16252716482580279</v>
      </c>
      <c r="J22">
        <f>LN('SDs by Year For Deciles'!J22)</f>
        <v>-1.4213535409569522E-2</v>
      </c>
      <c r="K22">
        <f>LN('SDs by Year For Deciles'!K22)</f>
        <v>0.39300783750581203</v>
      </c>
    </row>
    <row r="23" spans="1:11" x14ac:dyDescent="0.3">
      <c r="A23">
        <f>'SDs by Year For Deciles'!A23</f>
        <v>1946</v>
      </c>
      <c r="B23">
        <f>LN('SDs by Year For Deciles'!B23)</f>
        <v>0.18421975407703489</v>
      </c>
      <c r="C23">
        <f>LN('SDs by Year For Deciles'!C23)</f>
        <v>0.26460022438341801</v>
      </c>
      <c r="D23">
        <f>LN('SDs by Year For Deciles'!D23)</f>
        <v>0.28018906989283926</v>
      </c>
      <c r="E23">
        <f>LN('SDs by Year For Deciles'!E23)</f>
        <v>0.24866313893961858</v>
      </c>
      <c r="F23">
        <f>LN('SDs by Year For Deciles'!F23)</f>
        <v>0.26979810335322024</v>
      </c>
      <c r="G23">
        <f>LN('SDs by Year For Deciles'!G23)</f>
        <v>-2.6364509431328505E-2</v>
      </c>
      <c r="H23">
        <f>LN('SDs by Year For Deciles'!H23)</f>
        <v>0.19600254384981861</v>
      </c>
      <c r="I23">
        <f>LN('SDs by Year For Deciles'!I23)</f>
        <v>0.22673708682433988</v>
      </c>
      <c r="J23">
        <f>LN('SDs by Year For Deciles'!J23)</f>
        <v>0.32608995534803586</v>
      </c>
      <c r="K23">
        <f>LN('SDs by Year For Deciles'!K23)</f>
        <v>0.58761998434502005</v>
      </c>
    </row>
    <row r="24" spans="1:11" x14ac:dyDescent="0.3">
      <c r="A24">
        <f>'SDs by Year For Deciles'!A24</f>
        <v>1947</v>
      </c>
      <c r="B24">
        <f>LN('SDs by Year For Deciles'!B24)</f>
        <v>-0.36308832290161042</v>
      </c>
      <c r="C24">
        <f>LN('SDs by Year For Deciles'!C24)</f>
        <v>-0.12398623578102401</v>
      </c>
      <c r="D24">
        <f>LN('SDs by Year For Deciles'!D24)</f>
        <v>-0.21638022425995129</v>
      </c>
      <c r="E24">
        <f>LN('SDs by Year For Deciles'!E24)</f>
        <v>-0.15463596422535328</v>
      </c>
      <c r="F24">
        <f>LN('SDs by Year For Deciles'!F24)</f>
        <v>-0.25216822122982613</v>
      </c>
      <c r="G24">
        <f>LN('SDs by Year For Deciles'!G24)</f>
        <v>-0.50461329364302865</v>
      </c>
      <c r="H24">
        <f>LN('SDs by Year For Deciles'!H24)</f>
        <v>-0.27198721691481781</v>
      </c>
      <c r="I24">
        <f>LN('SDs by Year For Deciles'!I24)</f>
        <v>-0.20493287677718311</v>
      </c>
      <c r="J24">
        <f>LN('SDs by Year For Deciles'!J24)</f>
        <v>-0.12591249031128762</v>
      </c>
      <c r="K24">
        <f>LN('SDs by Year For Deciles'!K24)</f>
        <v>0.23280076990724541</v>
      </c>
    </row>
    <row r="25" spans="1:11" x14ac:dyDescent="0.3">
      <c r="A25">
        <f>'SDs by Year For Deciles'!A25</f>
        <v>1948</v>
      </c>
      <c r="B25">
        <f>LN('SDs by Year For Deciles'!B25)</f>
        <v>-0.32124575017881118</v>
      </c>
      <c r="C25">
        <f>LN('SDs by Year For Deciles'!C25)</f>
        <v>-0.17765764973644846</v>
      </c>
      <c r="D25">
        <f>LN('SDs by Year For Deciles'!D25)</f>
        <v>-0.19258888588575568</v>
      </c>
      <c r="E25">
        <f>LN('SDs by Year For Deciles'!E25)</f>
        <v>-6.9190390992644735E-2</v>
      </c>
      <c r="F25">
        <f>LN('SDs by Year For Deciles'!F25)</f>
        <v>-0.56764644753705606</v>
      </c>
      <c r="G25">
        <f>LN('SDs by Year For Deciles'!G25)</f>
        <v>-0.20172580745264534</v>
      </c>
      <c r="H25">
        <f>LN('SDs by Year For Deciles'!H25)</f>
        <v>-5.1539640517740661E-2</v>
      </c>
      <c r="I25">
        <f>LN('SDs by Year For Deciles'!I25)</f>
        <v>1.6611265805196906E-2</v>
      </c>
      <c r="J25">
        <f>LN('SDs by Year For Deciles'!J25)</f>
        <v>8.5149645041681168E-2</v>
      </c>
      <c r="K25">
        <f>LN('SDs by Year For Deciles'!K25)</f>
        <v>0.28330500706226974</v>
      </c>
    </row>
    <row r="26" spans="1:11" x14ac:dyDescent="0.3">
      <c r="A26">
        <f>'SDs by Year For Deciles'!A26</f>
        <v>1949</v>
      </c>
      <c r="B26">
        <f>LN('SDs by Year For Deciles'!B26)</f>
        <v>-0.58976421897386588</v>
      </c>
      <c r="C26">
        <f>LN('SDs by Year For Deciles'!C26)</f>
        <v>-0.5344832721166658</v>
      </c>
      <c r="D26">
        <f>LN('SDs by Year For Deciles'!D26)</f>
        <v>-0.66248995268256894</v>
      </c>
      <c r="E26">
        <f>LN('SDs by Year For Deciles'!E26)</f>
        <v>-0.34994762318930583</v>
      </c>
      <c r="F26">
        <f>LN('SDs by Year For Deciles'!F26)</f>
        <v>-0.73068706709406017</v>
      </c>
      <c r="G26">
        <f>LN('SDs by Year For Deciles'!G26)</f>
        <v>-0.48681128993514522</v>
      </c>
      <c r="H26">
        <f>LN('SDs by Year For Deciles'!H26)</f>
        <v>-0.29230340102696351</v>
      </c>
      <c r="I26">
        <f>LN('SDs by Year For Deciles'!I26)</f>
        <v>-0.24730945888802461</v>
      </c>
      <c r="J26">
        <f>LN('SDs by Year For Deciles'!J26)</f>
        <v>-0.25153273782298596</v>
      </c>
      <c r="K26">
        <f>LN('SDs by Year For Deciles'!K26)</f>
        <v>6.1414897701466145E-2</v>
      </c>
    </row>
    <row r="27" spans="1:11" x14ac:dyDescent="0.3">
      <c r="A27">
        <f>'SDs by Year For Deciles'!A27</f>
        <v>1950</v>
      </c>
      <c r="B27">
        <f>LN('SDs by Year For Deciles'!B27)</f>
        <v>-0.20667244777780561</v>
      </c>
      <c r="C27">
        <f>LN('SDs by Year For Deciles'!C27)</f>
        <v>-0.108460872356177</v>
      </c>
      <c r="D27">
        <f>LN('SDs by Year For Deciles'!D27)</f>
        <v>-0.2843861765554283</v>
      </c>
      <c r="E27">
        <f>LN('SDs by Year For Deciles'!E27)</f>
        <v>-0.33157962498900656</v>
      </c>
      <c r="F27">
        <f>LN('SDs by Year For Deciles'!F27)</f>
        <v>-0.21735533540360855</v>
      </c>
      <c r="G27">
        <f>LN('SDs by Year For Deciles'!G27)</f>
        <v>-0.13464057897289722</v>
      </c>
      <c r="H27">
        <f>LN('SDs by Year For Deciles'!H27)</f>
        <v>-7.223311541190372E-2</v>
      </c>
      <c r="I27">
        <f>LN('SDs by Year For Deciles'!I27)</f>
        <v>1.3814143833371003E-2</v>
      </c>
      <c r="J27">
        <f>LN('SDs by Year For Deciles'!J27)</f>
        <v>8.3044352074347461E-2</v>
      </c>
      <c r="K27">
        <f>LN('SDs by Year For Deciles'!K27)</f>
        <v>0.21661025574068135</v>
      </c>
    </row>
    <row r="28" spans="1:11" x14ac:dyDescent="0.3">
      <c r="A28">
        <f>'SDs by Year For Deciles'!A28</f>
        <v>1951</v>
      </c>
      <c r="B28">
        <f>LN('SDs by Year For Deciles'!B28)</f>
        <v>-0.56291572674928114</v>
      </c>
      <c r="C28">
        <f>LN('SDs by Year For Deciles'!C28)</f>
        <v>-0.61085224183316122</v>
      </c>
      <c r="D28">
        <f>LN('SDs by Year For Deciles'!D28)</f>
        <v>-0.59812067735165797</v>
      </c>
      <c r="E28">
        <f>LN('SDs by Year For Deciles'!E28)</f>
        <v>-0.7163994309701408</v>
      </c>
      <c r="F28">
        <f>LN('SDs by Year For Deciles'!F28)</f>
        <v>-0.41846068602304892</v>
      </c>
      <c r="G28">
        <f>LN('SDs by Year For Deciles'!G28)</f>
        <v>-0.37736902560517088</v>
      </c>
      <c r="H28">
        <f>LN('SDs by Year For Deciles'!H28)</f>
        <v>-0.26597015789397999</v>
      </c>
      <c r="I28">
        <f>LN('SDs by Year For Deciles'!I28)</f>
        <v>-0.27369238603852875</v>
      </c>
      <c r="J28">
        <f>LN('SDs by Year For Deciles'!J28)</f>
        <v>-0.13189273595601411</v>
      </c>
      <c r="K28">
        <f>LN('SDs by Year For Deciles'!K28)</f>
        <v>3.4923029789229627E-2</v>
      </c>
    </row>
    <row r="29" spans="1:11" x14ac:dyDescent="0.3">
      <c r="A29">
        <f>'SDs by Year For Deciles'!A29</f>
        <v>1952</v>
      </c>
      <c r="B29">
        <f>LN('SDs by Year For Deciles'!B29)</f>
        <v>-0.79023974787356122</v>
      </c>
      <c r="C29">
        <f>LN('SDs by Year For Deciles'!C29)</f>
        <v>-0.84751355031327014</v>
      </c>
      <c r="D29">
        <f>LN('SDs by Year For Deciles'!D29)</f>
        <v>-0.74963922823585627</v>
      </c>
      <c r="E29">
        <f>LN('SDs by Year For Deciles'!E29)</f>
        <v>-0.80386647329487382</v>
      </c>
      <c r="F29">
        <f>LN('SDs by Year For Deciles'!F29)</f>
        <v>-1.0905607891576288</v>
      </c>
      <c r="G29">
        <f>LN('SDs by Year For Deciles'!G29)</f>
        <v>-0.57281805560819765</v>
      </c>
      <c r="H29">
        <f>LN('SDs by Year For Deciles'!H29)</f>
        <v>-0.63142386840719356</v>
      </c>
      <c r="I29">
        <f>LN('SDs by Year For Deciles'!I29)</f>
        <v>-0.62275395669089662</v>
      </c>
      <c r="J29">
        <f>LN('SDs by Year For Deciles'!J29)</f>
        <v>-0.59222188597017955</v>
      </c>
      <c r="K29">
        <f>LN('SDs by Year For Deciles'!K29)</f>
        <v>-0.23897445137147566</v>
      </c>
    </row>
    <row r="30" spans="1:11" x14ac:dyDescent="0.3">
      <c r="A30">
        <f>'SDs by Year For Deciles'!A30</f>
        <v>1953</v>
      </c>
      <c r="B30">
        <f>LN('SDs by Year For Deciles'!B30)</f>
        <v>-0.53616736366057804</v>
      </c>
      <c r="C30">
        <f>LN('SDs by Year For Deciles'!C30)</f>
        <v>-0.71635234994266039</v>
      </c>
      <c r="D30">
        <f>LN('SDs by Year For Deciles'!D30)</f>
        <v>-0.56595785640403984</v>
      </c>
      <c r="E30">
        <f>LN('SDs by Year For Deciles'!E30)</f>
        <v>-0.70387855634931473</v>
      </c>
      <c r="F30">
        <f>LN('SDs by Year For Deciles'!F30)</f>
        <v>-0.72820664373578636</v>
      </c>
      <c r="G30">
        <f>LN('SDs by Year For Deciles'!G30)</f>
        <v>-0.61001816351954208</v>
      </c>
      <c r="H30">
        <f>LN('SDs by Year For Deciles'!H30)</f>
        <v>-0.47248189761752379</v>
      </c>
      <c r="I30">
        <f>LN('SDs by Year For Deciles'!I30)</f>
        <v>-0.45271867844281577</v>
      </c>
      <c r="J30">
        <f>LN('SDs by Year For Deciles'!J30)</f>
        <v>-0.3288569069905326</v>
      </c>
      <c r="K30">
        <f>LN('SDs by Year For Deciles'!K30)</f>
        <v>-4.6563445149369123E-2</v>
      </c>
    </row>
    <row r="31" spans="1:11" x14ac:dyDescent="0.3">
      <c r="A31">
        <f>'SDs by Year For Deciles'!A31</f>
        <v>1954</v>
      </c>
      <c r="B31">
        <f>LN('SDs by Year For Deciles'!B31)</f>
        <v>-0.50029460345977395</v>
      </c>
      <c r="C31">
        <f>LN('SDs by Year For Deciles'!C31)</f>
        <v>-0.88186998167202491</v>
      </c>
      <c r="D31">
        <f>LN('SDs by Year For Deciles'!D31)</f>
        <v>-0.72365174989822945</v>
      </c>
      <c r="E31">
        <f>LN('SDs by Year For Deciles'!E31)</f>
        <v>-0.85370802835155857</v>
      </c>
      <c r="F31">
        <f>LN('SDs by Year For Deciles'!F31)</f>
        <v>-0.59052200252941911</v>
      </c>
      <c r="G31">
        <f>LN('SDs by Year For Deciles'!G31)</f>
        <v>-0.55030650409314974</v>
      </c>
      <c r="H31">
        <f>LN('SDs by Year For Deciles'!H31)</f>
        <v>-0.59744435058006373</v>
      </c>
      <c r="I31">
        <f>LN('SDs by Year For Deciles'!I31)</f>
        <v>-0.28758607705948608</v>
      </c>
      <c r="J31">
        <f>LN('SDs by Year For Deciles'!J31)</f>
        <v>-0.43665396316423066</v>
      </c>
      <c r="K31">
        <f>LN('SDs by Year For Deciles'!K31)</f>
        <v>-0.23360306177731618</v>
      </c>
    </row>
    <row r="32" spans="1:11" x14ac:dyDescent="0.3">
      <c r="A32">
        <f>'SDs by Year For Deciles'!A32</f>
        <v>1955</v>
      </c>
      <c r="B32">
        <f>LN('SDs by Year For Deciles'!B32)</f>
        <v>-9.1726110261675153E-2</v>
      </c>
      <c r="C32">
        <f>LN('SDs by Year For Deciles'!C32)</f>
        <v>-0.29207035355521044</v>
      </c>
      <c r="D32">
        <f>LN('SDs by Year For Deciles'!D32)</f>
        <v>-0.17494046420269982</v>
      </c>
      <c r="E32">
        <f>LN('SDs by Year For Deciles'!E32)</f>
        <v>-0.39096918354366567</v>
      </c>
      <c r="F32">
        <f>LN('SDs by Year For Deciles'!F32)</f>
        <v>-0.21594576762181972</v>
      </c>
      <c r="G32">
        <f>LN('SDs by Year For Deciles'!G32)</f>
        <v>-0.33124253537848225</v>
      </c>
      <c r="H32">
        <f>LN('SDs by Year For Deciles'!H32)</f>
        <v>-7.3157962017823847E-2</v>
      </c>
      <c r="I32">
        <f>LN('SDs by Year For Deciles'!I32)</f>
        <v>-2.800654761236147E-2</v>
      </c>
      <c r="J32">
        <f>LN('SDs by Year For Deciles'!J32)</f>
        <v>-5.9406105370724393E-3</v>
      </c>
      <c r="K32">
        <f>LN('SDs by Year For Deciles'!K32)</f>
        <v>7.6988818528110819E-2</v>
      </c>
    </row>
    <row r="33" spans="1:11" x14ac:dyDescent="0.3">
      <c r="A33">
        <f>'SDs by Year For Deciles'!A33</f>
        <v>1956</v>
      </c>
      <c r="B33">
        <f>LN('SDs by Year For Deciles'!B33)</f>
        <v>-0.2796080882953364</v>
      </c>
      <c r="C33">
        <f>LN('SDs by Year For Deciles'!C33)</f>
        <v>-0.34909375391841913</v>
      </c>
      <c r="D33">
        <f>LN('SDs by Year For Deciles'!D33)</f>
        <v>-0.21774564625261708</v>
      </c>
      <c r="E33">
        <f>LN('SDs by Year For Deciles'!E33)</f>
        <v>-0.6062138066124737</v>
      </c>
      <c r="F33">
        <f>LN('SDs by Year For Deciles'!F33)</f>
        <v>-0.36689412521465103</v>
      </c>
      <c r="G33">
        <f>LN('SDs by Year For Deciles'!G33)</f>
        <v>-0.52578698890615094</v>
      </c>
      <c r="H33">
        <f>LN('SDs by Year For Deciles'!H33)</f>
        <v>-0.25635008594950892</v>
      </c>
      <c r="I33">
        <f>LN('SDs by Year For Deciles'!I33)</f>
        <v>-0.41958431666904783</v>
      </c>
      <c r="J33">
        <f>LN('SDs by Year For Deciles'!J33)</f>
        <v>-0.32070263300378538</v>
      </c>
      <c r="K33">
        <f>LN('SDs by Year For Deciles'!K33)</f>
        <v>-0.2407743138171036</v>
      </c>
    </row>
    <row r="34" spans="1:11" x14ac:dyDescent="0.3">
      <c r="A34">
        <f>'SDs by Year For Deciles'!A34</f>
        <v>1957</v>
      </c>
      <c r="B34">
        <f>LN('SDs by Year For Deciles'!B34)</f>
        <v>-0.10296560796222036</v>
      </c>
      <c r="C34">
        <f>LN('SDs by Year For Deciles'!C34)</f>
        <v>-0.11510898910779314</v>
      </c>
      <c r="D34">
        <f>LN('SDs by Year For Deciles'!D34)</f>
        <v>-8.6893202154368854E-2</v>
      </c>
      <c r="E34">
        <f>LN('SDs by Year For Deciles'!E34)</f>
        <v>-0.24828573369593768</v>
      </c>
      <c r="F34">
        <f>LN('SDs by Year For Deciles'!F34)</f>
        <v>-0.35002283265835543</v>
      </c>
      <c r="G34">
        <f>LN('SDs by Year For Deciles'!G34)</f>
        <v>-0.45157449377736836</v>
      </c>
      <c r="H34">
        <f>LN('SDs by Year For Deciles'!H34)</f>
        <v>-9.7610623797766818E-2</v>
      </c>
      <c r="I34">
        <f>LN('SDs by Year For Deciles'!I34)</f>
        <v>-0.21997482702797591</v>
      </c>
      <c r="J34">
        <f>LN('SDs by Year For Deciles'!J34)</f>
        <v>-0.19752332031437037</v>
      </c>
      <c r="K34">
        <f>LN('SDs by Year For Deciles'!K34)</f>
        <v>5.7598872379398404E-2</v>
      </c>
    </row>
    <row r="35" spans="1:11" x14ac:dyDescent="0.3">
      <c r="A35">
        <f>'SDs by Year For Deciles'!A35</f>
        <v>1958</v>
      </c>
      <c r="B35">
        <f>LN('SDs by Year For Deciles'!B35)</f>
        <v>-0.49097887979590693</v>
      </c>
      <c r="C35">
        <f>LN('SDs by Year For Deciles'!C35)</f>
        <v>-0.4672953000823607</v>
      </c>
      <c r="D35">
        <f>LN('SDs by Year For Deciles'!D35)</f>
        <v>-0.5697673915425927</v>
      </c>
      <c r="E35">
        <f>LN('SDs by Year For Deciles'!E35)</f>
        <v>-0.76760352107918817</v>
      </c>
      <c r="F35">
        <f>LN('SDs by Year For Deciles'!F35)</f>
        <v>-0.56180493236451934</v>
      </c>
      <c r="G35">
        <f>LN('SDs by Year For Deciles'!G35)</f>
        <v>-0.68920296919822355</v>
      </c>
      <c r="H35">
        <f>LN('SDs by Year For Deciles'!H35)</f>
        <v>-0.53974649619469983</v>
      </c>
      <c r="I35">
        <f>LN('SDs by Year For Deciles'!I35)</f>
        <v>-0.43834993544394107</v>
      </c>
      <c r="J35">
        <f>LN('SDs by Year For Deciles'!J35)</f>
        <v>-0.34287348093933778</v>
      </c>
      <c r="K35">
        <f>LN('SDs by Year For Deciles'!K35)</f>
        <v>-0.15091010283986148</v>
      </c>
    </row>
    <row r="36" spans="1:11" x14ac:dyDescent="0.3">
      <c r="A36">
        <f>'SDs by Year For Deciles'!A36</f>
        <v>1959</v>
      </c>
      <c r="B36">
        <f>LN('SDs by Year For Deciles'!B36)</f>
        <v>-0.39252864612634225</v>
      </c>
      <c r="C36">
        <f>LN('SDs by Year For Deciles'!C36)</f>
        <v>-0.48745420877617579</v>
      </c>
      <c r="D36">
        <f>LN('SDs by Year For Deciles'!D36)</f>
        <v>-0.49651681807977804</v>
      </c>
      <c r="E36">
        <f>LN('SDs by Year For Deciles'!E36)</f>
        <v>-0.64310637020315553</v>
      </c>
      <c r="F36">
        <f>LN('SDs by Year For Deciles'!F36)</f>
        <v>-0.59704277078521484</v>
      </c>
      <c r="G36">
        <f>LN('SDs by Year For Deciles'!G36)</f>
        <v>-0.53695572738503494</v>
      </c>
      <c r="H36">
        <f>LN('SDs by Year For Deciles'!H36)</f>
        <v>-0.41987341096905667</v>
      </c>
      <c r="I36">
        <f>LN('SDs by Year For Deciles'!I36)</f>
        <v>-0.39671301961319561</v>
      </c>
      <c r="J36">
        <f>LN('SDs by Year For Deciles'!J36)</f>
        <v>-0.36976452565921197</v>
      </c>
      <c r="K36">
        <f>LN('SDs by Year For Deciles'!K36)</f>
        <v>-0.19956741541058387</v>
      </c>
    </row>
    <row r="37" spans="1:11" x14ac:dyDescent="0.3">
      <c r="A37">
        <f>'SDs by Year For Deciles'!A37</f>
        <v>1960</v>
      </c>
      <c r="B37">
        <f>LN('SDs by Year For Deciles'!B37)</f>
        <v>-0.25273586661731062</v>
      </c>
      <c r="C37">
        <f>LN('SDs by Year For Deciles'!C37)</f>
        <v>-0.46472956162304446</v>
      </c>
      <c r="D37">
        <f>LN('SDs by Year For Deciles'!D37)</f>
        <v>-0.36817221354205443</v>
      </c>
      <c r="E37">
        <f>LN('SDs by Year For Deciles'!E37)</f>
        <v>-0.518760353974272</v>
      </c>
      <c r="F37">
        <f>LN('SDs by Year For Deciles'!F37)</f>
        <v>-0.47463835300427826</v>
      </c>
      <c r="G37">
        <f>LN('SDs by Year For Deciles'!G37)</f>
        <v>-0.4633871663915014</v>
      </c>
      <c r="H37">
        <f>LN('SDs by Year For Deciles'!H37)</f>
        <v>-0.46585066475295472</v>
      </c>
      <c r="I37">
        <f>LN('SDs by Year For Deciles'!I37)</f>
        <v>-0.38878499785696596</v>
      </c>
      <c r="J37">
        <f>LN('SDs by Year For Deciles'!J37)</f>
        <v>-0.29006223612867299</v>
      </c>
      <c r="K37">
        <f>LN('SDs by Year For Deciles'!K37)</f>
        <v>-0.17963756193283176</v>
      </c>
    </row>
    <row r="38" spans="1:11" x14ac:dyDescent="0.3">
      <c r="A38">
        <f>'SDs by Year For Deciles'!A38</f>
        <v>1961</v>
      </c>
      <c r="B38">
        <f>LN('SDs by Year For Deciles'!B38)</f>
        <v>-0.56563562082591567</v>
      </c>
      <c r="C38">
        <f>LN('SDs by Year For Deciles'!C38)</f>
        <v>-0.82057836023253861</v>
      </c>
      <c r="D38">
        <f>LN('SDs by Year For Deciles'!D38)</f>
        <v>-0.5951188800132573</v>
      </c>
      <c r="E38">
        <f>LN('SDs by Year For Deciles'!E38)</f>
        <v>-0.64990763068299573</v>
      </c>
      <c r="F38">
        <f>LN('SDs by Year For Deciles'!F38)</f>
        <v>-0.53145359156195815</v>
      </c>
      <c r="G38">
        <f>LN('SDs by Year For Deciles'!G38)</f>
        <v>-0.64001976919373582</v>
      </c>
      <c r="H38">
        <f>LN('SDs by Year For Deciles'!H38)</f>
        <v>-0.7515435368050879</v>
      </c>
      <c r="I38">
        <f>LN('SDs by Year For Deciles'!I38)</f>
        <v>-0.61222363017305137</v>
      </c>
      <c r="J38">
        <f>LN('SDs by Year For Deciles'!J38)</f>
        <v>-0.61386476183281757</v>
      </c>
      <c r="K38">
        <f>LN('SDs by Year For Deciles'!K38)</f>
        <v>-0.30971911419369724</v>
      </c>
    </row>
    <row r="39" spans="1:11" x14ac:dyDescent="0.3">
      <c r="A39">
        <f>'SDs by Year For Deciles'!A39</f>
        <v>1962</v>
      </c>
      <c r="B39">
        <f>LN('SDs by Year For Deciles'!B39)</f>
        <v>0.27894148456442991</v>
      </c>
      <c r="C39">
        <f>LN('SDs by Year For Deciles'!C39)</f>
        <v>0.10946408449056355</v>
      </c>
      <c r="D39">
        <f>LN('SDs by Year For Deciles'!D39)</f>
        <v>2.4868206928880785E-2</v>
      </c>
      <c r="E39">
        <f>LN('SDs by Year For Deciles'!E39)</f>
        <v>-5.8058230318103338E-2</v>
      </c>
      <c r="F39">
        <f>LN('SDs by Year For Deciles'!F39)</f>
        <v>-1.5477155651302891E-2</v>
      </c>
      <c r="G39">
        <f>LN('SDs by Year For Deciles'!G39)</f>
        <v>8.0860834454997657E-2</v>
      </c>
      <c r="H39">
        <f>LN('SDs by Year For Deciles'!H39)</f>
        <v>-0.13886674318554601</v>
      </c>
      <c r="I39">
        <f>LN('SDs by Year For Deciles'!I39)</f>
        <v>-2.3208239816940975E-2</v>
      </c>
      <c r="J39">
        <f>LN('SDs by Year For Deciles'!J39)</f>
        <v>-8.0709096327809621E-2</v>
      </c>
      <c r="K39">
        <f>LN('SDs by Year For Deciles'!K39)</f>
        <v>6.7518451730822798E-2</v>
      </c>
    </row>
    <row r="40" spans="1:11" x14ac:dyDescent="0.3">
      <c r="A40">
        <f>'SDs by Year For Deciles'!A40</f>
        <v>1963</v>
      </c>
      <c r="B40">
        <f>LN('SDs by Year For Deciles'!B40)</f>
        <v>-0.52572270296225043</v>
      </c>
      <c r="C40">
        <f>LN('SDs by Year For Deciles'!C40)</f>
        <v>-0.48293649945080813</v>
      </c>
      <c r="D40">
        <f>LN('SDs by Year For Deciles'!D40)</f>
        <v>-0.61253355896570305</v>
      </c>
      <c r="E40">
        <f>LN('SDs by Year For Deciles'!E40)</f>
        <v>-0.71459351800780235</v>
      </c>
      <c r="F40">
        <f>LN('SDs by Year For Deciles'!F40)</f>
        <v>-0.63965001647824038</v>
      </c>
      <c r="G40">
        <f>LN('SDs by Year For Deciles'!G40)</f>
        <v>-0.47679463602307398</v>
      </c>
      <c r="H40">
        <f>LN('SDs by Year For Deciles'!H40)</f>
        <v>-0.598486302415418</v>
      </c>
      <c r="I40">
        <f>LN('SDs by Year For Deciles'!I40)</f>
        <v>-0.28556564699431136</v>
      </c>
      <c r="J40">
        <f>LN('SDs by Year For Deciles'!J40)</f>
        <v>-0.44297384752509816</v>
      </c>
      <c r="K40">
        <f>LN('SDs by Year For Deciles'!K40)</f>
        <v>-0.38069688861996881</v>
      </c>
    </row>
    <row r="41" spans="1:11" x14ac:dyDescent="0.3">
      <c r="A41">
        <f>'SDs by Year For Deciles'!A41</f>
        <v>1964</v>
      </c>
      <c r="B41">
        <f>LN('SDs by Year For Deciles'!B41)</f>
        <v>-0.93395075618434931</v>
      </c>
      <c r="C41">
        <f>LN('SDs by Year For Deciles'!C41)</f>
        <v>-0.99232979815974498</v>
      </c>
      <c r="D41">
        <f>LN('SDs by Year For Deciles'!D41)</f>
        <v>-1.0421119246287798</v>
      </c>
      <c r="E41">
        <f>LN('SDs by Year For Deciles'!E41)</f>
        <v>-1.1022077445800837</v>
      </c>
      <c r="F41">
        <f>LN('SDs by Year For Deciles'!F41)</f>
        <v>-0.9949119503423598</v>
      </c>
      <c r="G41">
        <f>LN('SDs by Year For Deciles'!G41)</f>
        <v>-0.94641494392970682</v>
      </c>
      <c r="H41">
        <f>LN('SDs by Year For Deciles'!H41)</f>
        <v>-0.99859683242323194</v>
      </c>
      <c r="I41">
        <f>LN('SDs by Year For Deciles'!I41)</f>
        <v>-0.52051407224667412</v>
      </c>
      <c r="J41">
        <f>LN('SDs by Year For Deciles'!J41)</f>
        <v>-0.7243695657886563</v>
      </c>
      <c r="K41">
        <f>LN('SDs by Year For Deciles'!K41)</f>
        <v>-0.59442102367264416</v>
      </c>
    </row>
    <row r="42" spans="1:11" x14ac:dyDescent="0.3">
      <c r="A42">
        <f>'SDs by Year For Deciles'!A42</f>
        <v>1965</v>
      </c>
      <c r="B42">
        <f>LN('SDs by Year For Deciles'!B42)</f>
        <v>-0.65638718479759495</v>
      </c>
      <c r="C42">
        <f>LN('SDs by Year For Deciles'!C42)</f>
        <v>-0.91039564211063739</v>
      </c>
      <c r="D42">
        <f>LN('SDs by Year For Deciles'!D42)</f>
        <v>-0.93865904773616338</v>
      </c>
      <c r="E42">
        <f>LN('SDs by Year For Deciles'!E42)</f>
        <v>-0.88684844127419737</v>
      </c>
      <c r="F42">
        <f>LN('SDs by Year For Deciles'!F42)</f>
        <v>-0.76937832813319984</v>
      </c>
      <c r="G42">
        <f>LN('SDs by Year For Deciles'!G42)</f>
        <v>-0.70917494163714256</v>
      </c>
      <c r="H42">
        <f>LN('SDs by Year For Deciles'!H42)</f>
        <v>-0.65716632546803733</v>
      </c>
      <c r="I42">
        <f>LN('SDs by Year For Deciles'!I42)</f>
        <v>-0.6590975065215896</v>
      </c>
      <c r="J42">
        <f>LN('SDs by Year For Deciles'!J42)</f>
        <v>-0.50394766458245543</v>
      </c>
      <c r="K42">
        <f>LN('SDs by Year For Deciles'!K42)</f>
        <v>-0.43904774512529054</v>
      </c>
    </row>
    <row r="43" spans="1:11" x14ac:dyDescent="0.3">
      <c r="A43">
        <f>'SDs by Year For Deciles'!A43</f>
        <v>1966</v>
      </c>
      <c r="B43">
        <f>LN('SDs by Year For Deciles'!B43)</f>
        <v>-9.1786395630708395E-2</v>
      </c>
      <c r="C43">
        <f>LN('SDs by Year For Deciles'!C43)</f>
        <v>-0.39117766150009486</v>
      </c>
      <c r="D43">
        <f>LN('SDs by Year For Deciles'!D43)</f>
        <v>-0.35284087481286985</v>
      </c>
      <c r="E43">
        <f>LN('SDs by Year For Deciles'!E43)</f>
        <v>-0.41215896204261099</v>
      </c>
      <c r="F43">
        <f>LN('SDs by Year For Deciles'!F43)</f>
        <v>-0.29815808811966943</v>
      </c>
      <c r="G43">
        <f>LN('SDs by Year For Deciles'!G43)</f>
        <v>-0.21769218703732343</v>
      </c>
      <c r="H43">
        <f>LN('SDs by Year For Deciles'!H43)</f>
        <v>-0.21037294375700871</v>
      </c>
      <c r="I43">
        <f>LN('SDs by Year For Deciles'!I43)</f>
        <v>-0.22036865490286861</v>
      </c>
      <c r="J43">
        <f>LN('SDs by Year For Deciles'!J43)</f>
        <v>-0.16663798942461622</v>
      </c>
      <c r="K43">
        <f>LN('SDs by Year For Deciles'!K43)</f>
        <v>-4.8786964174551986E-2</v>
      </c>
    </row>
    <row r="44" spans="1:11" x14ac:dyDescent="0.3">
      <c r="A44">
        <f>'SDs by Year For Deciles'!A44</f>
        <v>1967</v>
      </c>
      <c r="B44">
        <f>LN('SDs by Year For Deciles'!B44)</f>
        <v>-0.36291580624254272</v>
      </c>
      <c r="C44">
        <f>LN('SDs by Year For Deciles'!C44)</f>
        <v>-0.74585199699197358</v>
      </c>
      <c r="D44">
        <f>LN('SDs by Year For Deciles'!D44)</f>
        <v>-0.53120011454492722</v>
      </c>
      <c r="E44">
        <f>LN('SDs by Year For Deciles'!E44)</f>
        <v>-0.8050423338651127</v>
      </c>
      <c r="F44">
        <f>LN('SDs by Year For Deciles'!F44)</f>
        <v>-0.64119250493319191</v>
      </c>
      <c r="G44">
        <f>LN('SDs by Year For Deciles'!G44)</f>
        <v>-0.58294122303899543</v>
      </c>
      <c r="H44">
        <f>LN('SDs by Year For Deciles'!H44)</f>
        <v>-0.56395217649256868</v>
      </c>
      <c r="I44">
        <f>LN('SDs by Year For Deciles'!I44)</f>
        <v>-0.5018956152448607</v>
      </c>
      <c r="J44">
        <f>LN('SDs by Year For Deciles'!J44)</f>
        <v>-0.38181547825963724</v>
      </c>
      <c r="K44">
        <f>LN('SDs by Year For Deciles'!K44)</f>
        <v>-0.4408565622409486</v>
      </c>
    </row>
    <row r="45" spans="1:11" x14ac:dyDescent="0.3">
      <c r="A45">
        <f>'SDs by Year For Deciles'!A45</f>
        <v>1968</v>
      </c>
      <c r="B45">
        <f>LN('SDs by Year For Deciles'!B45)</f>
        <v>-0.15229490284704039</v>
      </c>
      <c r="C45">
        <f>LN('SDs by Year For Deciles'!C45)</f>
        <v>-0.49620634146282616</v>
      </c>
      <c r="D45">
        <f>LN('SDs by Year For Deciles'!D45)</f>
        <v>-0.39989117139622316</v>
      </c>
      <c r="E45">
        <f>LN('SDs by Year For Deciles'!E45)</f>
        <v>-0.620387545575802</v>
      </c>
      <c r="F45">
        <f>LN('SDs by Year For Deciles'!F45)</f>
        <v>-0.65692711870737663</v>
      </c>
      <c r="G45">
        <f>LN('SDs by Year For Deciles'!G45)</f>
        <v>-0.57228090298277934</v>
      </c>
      <c r="H45">
        <f>LN('SDs by Year For Deciles'!H45)</f>
        <v>-0.50872782568384456</v>
      </c>
      <c r="I45">
        <f>LN('SDs by Year For Deciles'!I45)</f>
        <v>-0.42835663113454936</v>
      </c>
      <c r="J45">
        <f>LN('SDs by Year For Deciles'!J45)</f>
        <v>-0.30818278335163091</v>
      </c>
      <c r="K45">
        <f>LN('SDs by Year For Deciles'!K45)</f>
        <v>-0.35794145991732068</v>
      </c>
    </row>
    <row r="46" spans="1:11" x14ac:dyDescent="0.3">
      <c r="A46">
        <f>'SDs by Year For Deciles'!A46</f>
        <v>1969</v>
      </c>
      <c r="B46">
        <f>LN('SDs by Year For Deciles'!B46)</f>
        <v>-0.21276880558728198</v>
      </c>
      <c r="C46">
        <f>LN('SDs by Year For Deciles'!C46)</f>
        <v>-0.21179444672606712</v>
      </c>
      <c r="D46">
        <f>LN('SDs by Year For Deciles'!D46)</f>
        <v>-0.35091300441237433</v>
      </c>
      <c r="E46">
        <f>LN('SDs by Year For Deciles'!E46)</f>
        <v>-0.35752816497115453</v>
      </c>
      <c r="F46">
        <f>LN('SDs by Year For Deciles'!F46)</f>
        <v>-0.40174254545009497</v>
      </c>
      <c r="G46">
        <f>LN('SDs by Year For Deciles'!G46)</f>
        <v>-0.28400749864171021</v>
      </c>
      <c r="H46">
        <f>LN('SDs by Year For Deciles'!H46)</f>
        <v>-0.37861093094365111</v>
      </c>
      <c r="I46">
        <f>LN('SDs by Year For Deciles'!I46)</f>
        <v>-0.37292918848360457</v>
      </c>
      <c r="J46">
        <f>LN('SDs by Year For Deciles'!J46)</f>
        <v>-0.325630422069628</v>
      </c>
      <c r="K46">
        <f>LN('SDs by Year For Deciles'!K46)</f>
        <v>-0.38099105598575783</v>
      </c>
    </row>
    <row r="47" spans="1:11" x14ac:dyDescent="0.3">
      <c r="A47">
        <f>'SDs by Year For Deciles'!A47</f>
        <v>1970</v>
      </c>
      <c r="B47">
        <f>LN('SDs by Year For Deciles'!B47)</f>
        <v>0.27337267967789602</v>
      </c>
      <c r="C47">
        <f>LN('SDs by Year For Deciles'!C47)</f>
        <v>0.11472948943690137</v>
      </c>
      <c r="D47">
        <f>LN('SDs by Year For Deciles'!D47)</f>
        <v>4.9504194903089091E-2</v>
      </c>
      <c r="E47">
        <f>LN('SDs by Year For Deciles'!E47)</f>
        <v>3.6061883145022074E-2</v>
      </c>
      <c r="F47">
        <f>LN('SDs by Year For Deciles'!F47)</f>
        <v>-6.9083232712261147E-2</v>
      </c>
      <c r="G47">
        <f>LN('SDs by Year For Deciles'!G47)</f>
        <v>-6.0488068640244259E-2</v>
      </c>
      <c r="H47">
        <f>LN('SDs by Year For Deciles'!H47)</f>
        <v>-0.10005019595229432</v>
      </c>
      <c r="I47">
        <f>LN('SDs by Year For Deciles'!I47)</f>
        <v>-0.11725542486743779</v>
      </c>
      <c r="J47">
        <f>LN('SDs by Year For Deciles'!J47)</f>
        <v>-6.3891263987015112E-2</v>
      </c>
      <c r="K47">
        <f>LN('SDs by Year For Deciles'!K47)</f>
        <v>-4.5975525666140911E-3</v>
      </c>
    </row>
    <row r="48" spans="1:11" x14ac:dyDescent="0.3">
      <c r="A48">
        <f>'SDs by Year For Deciles'!A48</f>
        <v>1971</v>
      </c>
      <c r="B48">
        <f>LN('SDs by Year For Deciles'!B48)</f>
        <v>-0.29266379397975617</v>
      </c>
      <c r="C48">
        <f>LN('SDs by Year For Deciles'!C48)</f>
        <v>-0.3865746614281339</v>
      </c>
      <c r="D48">
        <f>LN('SDs by Year For Deciles'!D48)</f>
        <v>-0.33528673960057176</v>
      </c>
      <c r="E48">
        <f>LN('SDs by Year For Deciles'!E48)</f>
        <v>-0.35839928690677841</v>
      </c>
      <c r="F48">
        <f>LN('SDs by Year For Deciles'!F48)</f>
        <v>-0.47906374845489408</v>
      </c>
      <c r="G48">
        <f>LN('SDs by Year For Deciles'!G48)</f>
        <v>-0.47000682925085546</v>
      </c>
      <c r="H48">
        <f>LN('SDs by Year For Deciles'!H48)</f>
        <v>-0.46289932468407358</v>
      </c>
      <c r="I48">
        <f>LN('SDs by Year For Deciles'!I48)</f>
        <v>-0.46128811987684792</v>
      </c>
      <c r="J48">
        <f>LN('SDs by Year For Deciles'!J48)</f>
        <v>-0.11204055530279958</v>
      </c>
      <c r="K48">
        <f>LN('SDs by Year For Deciles'!K48)</f>
        <v>-3.3275300927085166E-3</v>
      </c>
    </row>
    <row r="49" spans="1:11" x14ac:dyDescent="0.3">
      <c r="A49">
        <f>'SDs by Year For Deciles'!A49</f>
        <v>1972</v>
      </c>
      <c r="B49">
        <f>LN('SDs by Year For Deciles'!B49)</f>
        <v>-0.44696545765917634</v>
      </c>
      <c r="C49">
        <f>LN('SDs by Year For Deciles'!C49)</f>
        <v>-0.61420846667874374</v>
      </c>
      <c r="D49">
        <f>LN('SDs by Year For Deciles'!D49)</f>
        <v>-0.58964338754528389</v>
      </c>
      <c r="E49">
        <f>LN('SDs by Year For Deciles'!E49)</f>
        <v>-0.7227943467054645</v>
      </c>
      <c r="F49">
        <f>LN('SDs by Year For Deciles'!F49)</f>
        <v>-0.69020750564133149</v>
      </c>
      <c r="G49">
        <f>LN('SDs by Year For Deciles'!G49)</f>
        <v>-0.66800393781127954</v>
      </c>
      <c r="H49">
        <f>LN('SDs by Year For Deciles'!H49)</f>
        <v>-0.65509253161073888</v>
      </c>
      <c r="I49">
        <f>LN('SDs by Year For Deciles'!I49)</f>
        <v>-0.6893922391844538</v>
      </c>
      <c r="J49">
        <f>LN('SDs by Year For Deciles'!J49)</f>
        <v>-0.50073833859512362</v>
      </c>
      <c r="K49">
        <f>LN('SDs by Year For Deciles'!K49)</f>
        <v>-0.40099411789722739</v>
      </c>
    </row>
    <row r="50" spans="1:11" x14ac:dyDescent="0.3">
      <c r="A50">
        <f>'SDs by Year For Deciles'!A50</f>
        <v>1973</v>
      </c>
      <c r="B50">
        <f>LN('SDs by Year For Deciles'!B50)</f>
        <v>0.15647369382542439</v>
      </c>
      <c r="C50">
        <f>LN('SDs by Year For Deciles'!C50)</f>
        <v>0.13349889209638613</v>
      </c>
      <c r="D50">
        <f>LN('SDs by Year For Deciles'!D50)</f>
        <v>2.7838877416499722E-2</v>
      </c>
      <c r="E50">
        <f>LN('SDs by Year For Deciles'!E50)</f>
        <v>1.7004598815823765E-2</v>
      </c>
      <c r="F50">
        <f>LN('SDs by Year For Deciles'!F50)</f>
        <v>-3.8072652427267963E-2</v>
      </c>
      <c r="G50">
        <f>LN('SDs by Year For Deciles'!G50)</f>
        <v>-1.5370523594254219E-2</v>
      </c>
      <c r="H50">
        <f>LN('SDs by Year For Deciles'!H50)</f>
        <v>-0.10343348468634975</v>
      </c>
      <c r="I50">
        <f>LN('SDs by Year For Deciles'!I50)</f>
        <v>-0.14309353597506666</v>
      </c>
      <c r="J50">
        <f>LN('SDs by Year For Deciles'!J50)</f>
        <v>-6.1119306652805065E-2</v>
      </c>
      <c r="K50">
        <f>LN('SDs by Year For Deciles'!K50)</f>
        <v>0.15302147108240252</v>
      </c>
    </row>
    <row r="51" spans="1:11" x14ac:dyDescent="0.3">
      <c r="A51">
        <f>'SDs by Year For Deciles'!A51</f>
        <v>1974</v>
      </c>
      <c r="B51">
        <f>LN('SDs by Year For Deciles'!B51)</f>
        <v>0.52912123372882436</v>
      </c>
      <c r="C51">
        <f>LN('SDs by Year For Deciles'!C51)</f>
        <v>0.32452977994524601</v>
      </c>
      <c r="D51">
        <f>LN('SDs by Year For Deciles'!D51)</f>
        <v>0.24231853070025075</v>
      </c>
      <c r="E51">
        <f>LN('SDs by Year For Deciles'!E51)</f>
        <v>0.25962975988461989</v>
      </c>
      <c r="F51">
        <f>LN('SDs by Year For Deciles'!F51)</f>
        <v>0.1488854140401166</v>
      </c>
      <c r="G51">
        <f>LN('SDs by Year For Deciles'!G51)</f>
        <v>6.6190281230472672E-2</v>
      </c>
      <c r="H51">
        <f>LN('SDs by Year For Deciles'!H51)</f>
        <v>3.3763542152805269E-2</v>
      </c>
      <c r="I51">
        <f>LN('SDs by Year For Deciles'!I51)</f>
        <v>0.14992748898295069</v>
      </c>
      <c r="J51">
        <f>LN('SDs by Year For Deciles'!J51)</f>
        <v>0.13724573590286382</v>
      </c>
      <c r="K51">
        <f>LN('SDs by Year For Deciles'!K51)</f>
        <v>0.2497932719089673</v>
      </c>
    </row>
    <row r="52" spans="1:11" x14ac:dyDescent="0.3">
      <c r="A52">
        <f>'SDs by Year For Deciles'!A52</f>
        <v>1975</v>
      </c>
      <c r="B52">
        <f>LN('SDs by Year For Deciles'!B52)</f>
        <v>0.14190746518110714</v>
      </c>
      <c r="C52">
        <f>LN('SDs by Year For Deciles'!C52)</f>
        <v>-4.4847795526988185E-2</v>
      </c>
      <c r="D52">
        <f>LN('SDs by Year For Deciles'!D52)</f>
        <v>-0.15773158361716896</v>
      </c>
      <c r="E52">
        <f>LN('SDs by Year For Deciles'!E52)</f>
        <v>-7.9263305244452447E-3</v>
      </c>
      <c r="F52">
        <f>LN('SDs by Year For Deciles'!F52)</f>
        <v>-0.25739343951408333</v>
      </c>
      <c r="G52">
        <f>LN('SDs by Year For Deciles'!G52)</f>
        <v>-0.27260168852797051</v>
      </c>
      <c r="H52">
        <f>LN('SDs by Year For Deciles'!H52)</f>
        <v>-0.16053736468301216</v>
      </c>
      <c r="I52">
        <f>LN('SDs by Year For Deciles'!I52)</f>
        <v>-4.0379384153343391E-2</v>
      </c>
      <c r="J52">
        <f>LN('SDs by Year For Deciles'!J52)</f>
        <v>-2.0948904020390808E-2</v>
      </c>
      <c r="K52">
        <f>LN('SDs by Year For Deciles'!K52)</f>
        <v>0.14737635725897791</v>
      </c>
    </row>
    <row r="53" spans="1:11" x14ac:dyDescent="0.3">
      <c r="A53">
        <f>'SDs by Year For Deciles'!A53</f>
        <v>1976</v>
      </c>
      <c r="B53">
        <f>LN('SDs by Year For Deciles'!B53)</f>
        <v>-0.26510030401239504</v>
      </c>
      <c r="C53">
        <f>LN('SDs by Year For Deciles'!C53)</f>
        <v>-0.37148840925610288</v>
      </c>
      <c r="D53">
        <f>LN('SDs by Year For Deciles'!D53)</f>
        <v>-0.42246071876438174</v>
      </c>
      <c r="E53">
        <f>LN('SDs by Year For Deciles'!E53)</f>
        <v>-0.47560971401522001</v>
      </c>
      <c r="F53">
        <f>LN('SDs by Year For Deciles'!F53)</f>
        <v>-0.50009177156302087</v>
      </c>
      <c r="G53">
        <f>LN('SDs by Year For Deciles'!G53)</f>
        <v>-0.45295931239648407</v>
      </c>
      <c r="H53">
        <f>LN('SDs by Year For Deciles'!H53)</f>
        <v>-0.38443382415509347</v>
      </c>
      <c r="I53">
        <f>LN('SDs by Year For Deciles'!I53)</f>
        <v>-0.30562475052640109</v>
      </c>
      <c r="J53">
        <f>LN('SDs by Year For Deciles'!J53)</f>
        <v>-0.24705337661251217</v>
      </c>
      <c r="K53">
        <f>LN('SDs by Year For Deciles'!K53)</f>
        <v>-1.3098410861334063E-2</v>
      </c>
    </row>
    <row r="54" spans="1:11" x14ac:dyDescent="0.3">
      <c r="A54">
        <f>'SDs by Year For Deciles'!A54</f>
        <v>1977</v>
      </c>
      <c r="B54">
        <f>LN('SDs by Year For Deciles'!B54)</f>
        <v>-0.38846050929234055</v>
      </c>
      <c r="C54">
        <f>LN('SDs by Year For Deciles'!C54)</f>
        <v>-0.43274638089002776</v>
      </c>
      <c r="D54">
        <f>LN('SDs by Year For Deciles'!D54)</f>
        <v>-0.56505480259512841</v>
      </c>
      <c r="E54">
        <f>LN('SDs by Year For Deciles'!E54)</f>
        <v>-0.66406033433231582</v>
      </c>
      <c r="F54">
        <f>LN('SDs by Year For Deciles'!F54)</f>
        <v>-0.79201989867481848</v>
      </c>
      <c r="G54">
        <f>LN('SDs by Year For Deciles'!G54)</f>
        <v>-0.77116277754468421</v>
      </c>
      <c r="H54">
        <f>LN('SDs by Year For Deciles'!H54)</f>
        <v>-0.74929222567852027</v>
      </c>
      <c r="I54">
        <f>LN('SDs by Year For Deciles'!I54)</f>
        <v>-0.69897211258457481</v>
      </c>
      <c r="J54">
        <f>LN('SDs by Year For Deciles'!J54)</f>
        <v>-0.70606627383060427</v>
      </c>
      <c r="K54">
        <f>LN('SDs by Year For Deciles'!K54)</f>
        <v>-0.44875107321228397</v>
      </c>
    </row>
    <row r="55" spans="1:11" x14ac:dyDescent="0.3">
      <c r="A55">
        <f>'SDs by Year For Deciles'!A55</f>
        <v>1978</v>
      </c>
      <c r="B55">
        <f>LN('SDs by Year For Deciles'!B55)</f>
        <v>-4.5723570976395428E-2</v>
      </c>
      <c r="C55">
        <f>LN('SDs by Year For Deciles'!C55)</f>
        <v>-4.2315818052588772E-2</v>
      </c>
      <c r="D55">
        <f>LN('SDs by Year For Deciles'!D55)</f>
        <v>-0.15541130741776335</v>
      </c>
      <c r="E55">
        <f>LN('SDs by Year For Deciles'!E55)</f>
        <v>-0.23112658107379755</v>
      </c>
      <c r="F55">
        <f>LN('SDs by Year For Deciles'!F55)</f>
        <v>-0.32289897157637437</v>
      </c>
      <c r="G55">
        <f>LN('SDs by Year For Deciles'!G55)</f>
        <v>-0.47355392409075669</v>
      </c>
      <c r="H55">
        <f>LN('SDs by Year For Deciles'!H55)</f>
        <v>-0.55329306851949722</v>
      </c>
      <c r="I55">
        <f>LN('SDs by Year For Deciles'!I55)</f>
        <v>-0.45649685775415438</v>
      </c>
      <c r="J55">
        <f>LN('SDs by Year For Deciles'!J55)</f>
        <v>-0.30161873819065388</v>
      </c>
      <c r="K55">
        <f>LN('SDs by Year For Deciles'!K55)</f>
        <v>-3.9825616070166596E-2</v>
      </c>
    </row>
    <row r="56" spans="1:11" x14ac:dyDescent="0.3">
      <c r="A56">
        <f>'SDs by Year For Deciles'!A56</f>
        <v>1979</v>
      </c>
      <c r="B56">
        <f>LN('SDs by Year For Deciles'!B56)</f>
        <v>-0.27787828698932948</v>
      </c>
      <c r="C56">
        <f>LN('SDs by Year For Deciles'!C56)</f>
        <v>-0.27453158703168357</v>
      </c>
      <c r="D56">
        <f>LN('SDs by Year For Deciles'!D56)</f>
        <v>-0.26599233797405092</v>
      </c>
      <c r="E56">
        <f>LN('SDs by Year For Deciles'!E56)</f>
        <v>-0.34381795043622404</v>
      </c>
      <c r="F56">
        <f>LN('SDs by Year For Deciles'!F56)</f>
        <v>-0.32927380759079322</v>
      </c>
      <c r="G56">
        <f>LN('SDs by Year For Deciles'!G56)</f>
        <v>-0.46749637503612063</v>
      </c>
      <c r="H56">
        <f>LN('SDs by Year For Deciles'!H56)</f>
        <v>-0.46326955411137233</v>
      </c>
      <c r="I56">
        <f>LN('SDs by Year For Deciles'!I56)</f>
        <v>-0.44976658651768298</v>
      </c>
      <c r="J56">
        <f>LN('SDs by Year For Deciles'!J56)</f>
        <v>-0.31379062033890714</v>
      </c>
      <c r="K56">
        <f>LN('SDs by Year For Deciles'!K56)</f>
        <v>-0.17373572079705971</v>
      </c>
    </row>
    <row r="57" spans="1:11" x14ac:dyDescent="0.3">
      <c r="A57">
        <f>'SDs by Year For Deciles'!A57</f>
        <v>1980</v>
      </c>
      <c r="B57">
        <f>LN('SDs by Year For Deciles'!B57)</f>
        <v>0.10931169944013847</v>
      </c>
      <c r="C57">
        <f>LN('SDs by Year For Deciles'!C57)</f>
        <v>7.9541043399515399E-2</v>
      </c>
      <c r="D57">
        <f>LN('SDs by Year For Deciles'!D57)</f>
        <v>0.13575392097761985</v>
      </c>
      <c r="E57">
        <f>LN('SDs by Year For Deciles'!E57)</f>
        <v>0.17736763971760788</v>
      </c>
      <c r="F57">
        <f>LN('SDs by Year For Deciles'!F57)</f>
        <v>0.14919556636185308</v>
      </c>
      <c r="G57">
        <f>LN('SDs by Year For Deciles'!G57)</f>
        <v>-5.0184435714417663E-2</v>
      </c>
      <c r="H57">
        <f>LN('SDs by Year For Deciles'!H57)</f>
        <v>-6.8169639007242711E-2</v>
      </c>
      <c r="I57">
        <f>LN('SDs by Year For Deciles'!I57)</f>
        <v>-0.11948423187044861</v>
      </c>
      <c r="J57">
        <f>LN('SDs by Year For Deciles'!J57)</f>
        <v>-4.0775120618853571E-2</v>
      </c>
      <c r="K57">
        <f>LN('SDs by Year For Deciles'!K57)</f>
        <v>9.0589966194361715E-2</v>
      </c>
    </row>
    <row r="58" spans="1:11" x14ac:dyDescent="0.3">
      <c r="A58">
        <f>'SDs by Year For Deciles'!A58</f>
        <v>1981</v>
      </c>
      <c r="B58">
        <f>LN('SDs by Year For Deciles'!B58)</f>
        <v>9.6709200718032171E-2</v>
      </c>
      <c r="C58">
        <f>LN('SDs by Year For Deciles'!C58)</f>
        <v>-9.4153548959743871E-2</v>
      </c>
      <c r="D58">
        <f>LN('SDs by Year For Deciles'!D58)</f>
        <v>-7.9719843133235282E-2</v>
      </c>
      <c r="E58">
        <f>LN('SDs by Year For Deciles'!E58)</f>
        <v>-7.8420024935573623E-2</v>
      </c>
      <c r="F58">
        <f>LN('SDs by Year For Deciles'!F58)</f>
        <v>-0.11971189470953102</v>
      </c>
      <c r="G58">
        <f>LN('SDs by Year For Deciles'!G58)</f>
        <v>-0.27462896941949771</v>
      </c>
      <c r="H58">
        <f>LN('SDs by Year For Deciles'!H58)</f>
        <v>-0.28061642635660589</v>
      </c>
      <c r="I58">
        <f>LN('SDs by Year For Deciles'!I58)</f>
        <v>-0.40491126150951084</v>
      </c>
      <c r="J58">
        <f>LN('SDs by Year For Deciles'!J58)</f>
        <v>-0.36658243285248654</v>
      </c>
      <c r="K58">
        <f>LN('SDs by Year For Deciles'!K58)</f>
        <v>-0.30365970437866352</v>
      </c>
    </row>
    <row r="59" spans="1:11" x14ac:dyDescent="0.3">
      <c r="A59">
        <f>'SDs by Year For Deciles'!A59</f>
        <v>1982</v>
      </c>
      <c r="B59">
        <f>LN('SDs by Year For Deciles'!B59)</f>
        <v>0.29233373666683338</v>
      </c>
      <c r="C59">
        <f>LN('SDs by Year For Deciles'!C59)</f>
        <v>0.22138200069454894</v>
      </c>
      <c r="D59">
        <f>LN('SDs by Year For Deciles'!D59)</f>
        <v>0.13321884378622278</v>
      </c>
      <c r="E59">
        <f>LN('SDs by Year For Deciles'!E59)</f>
        <v>0.15587490677897109</v>
      </c>
      <c r="F59">
        <f>LN('SDs by Year For Deciles'!F59)</f>
        <v>3.5444360933194599E-2</v>
      </c>
      <c r="G59">
        <f>LN('SDs by Year For Deciles'!G59)</f>
        <v>-6.0020741688747582E-2</v>
      </c>
      <c r="H59">
        <f>LN('SDs by Year For Deciles'!H59)</f>
        <v>-4.3856027125532653E-3</v>
      </c>
      <c r="I59">
        <f>LN('SDs by Year For Deciles'!I59)</f>
        <v>-8.2619942558808335E-2</v>
      </c>
      <c r="J59">
        <f>LN('SDs by Year For Deciles'!J59)</f>
        <v>-0.14332433015038454</v>
      </c>
      <c r="K59">
        <f>LN('SDs by Year For Deciles'!K59)</f>
        <v>-9.2249069785892895E-2</v>
      </c>
    </row>
    <row r="60" spans="1:11" x14ac:dyDescent="0.3">
      <c r="A60">
        <f>'SDs by Year For Deciles'!A60</f>
        <v>1983</v>
      </c>
      <c r="B60">
        <f>LN('SDs by Year For Deciles'!B60)</f>
        <v>-0.10137402782546633</v>
      </c>
      <c r="C60">
        <f>LN('SDs by Year For Deciles'!C60)</f>
        <v>-0.12513474335727839</v>
      </c>
      <c r="D60">
        <f>LN('SDs by Year For Deciles'!D60)</f>
        <v>-0.25842363894100301</v>
      </c>
      <c r="E60">
        <f>LN('SDs by Year For Deciles'!E60)</f>
        <v>-0.19393918080821171</v>
      </c>
      <c r="F60">
        <f>LN('SDs by Year For Deciles'!F60)</f>
        <v>-0.15593944538154192</v>
      </c>
      <c r="G60">
        <f>LN('SDs by Year For Deciles'!G60)</f>
        <v>-0.24103261064995016</v>
      </c>
      <c r="H60">
        <f>LN('SDs by Year For Deciles'!H60)</f>
        <v>-0.2725741079911595</v>
      </c>
      <c r="I60">
        <f>LN('SDs by Year For Deciles'!I60)</f>
        <v>-0.34761043671177277</v>
      </c>
      <c r="J60">
        <f>LN('SDs by Year For Deciles'!J60)</f>
        <v>-0.37636320634625386</v>
      </c>
      <c r="K60">
        <f>LN('SDs by Year For Deciles'!K60)</f>
        <v>-0.25151730600205646</v>
      </c>
    </row>
    <row r="61" spans="1:11" x14ac:dyDescent="0.3">
      <c r="A61">
        <f>'SDs by Year For Deciles'!A61</f>
        <v>1984</v>
      </c>
      <c r="B61">
        <f>LN('SDs by Year For Deciles'!B61)</f>
        <v>2.8359748192080081E-3</v>
      </c>
      <c r="C61">
        <f>LN('SDs by Year For Deciles'!C61)</f>
        <v>-0.18095009767409037</v>
      </c>
      <c r="D61">
        <f>LN('SDs by Year For Deciles'!D61)</f>
        <v>-0.20815395869744852</v>
      </c>
      <c r="E61">
        <f>LN('SDs by Year For Deciles'!E61)</f>
        <v>-0.31783892015353421</v>
      </c>
      <c r="F61">
        <f>LN('SDs by Year For Deciles'!F61)</f>
        <v>-0.21830029881929525</v>
      </c>
      <c r="G61">
        <f>LN('SDs by Year For Deciles'!G61)</f>
        <v>-0.31750917734993089</v>
      </c>
      <c r="H61">
        <f>LN('SDs by Year For Deciles'!H61)</f>
        <v>-0.3734040991926173</v>
      </c>
      <c r="I61">
        <f>LN('SDs by Year For Deciles'!I61)</f>
        <v>-0.40685457296753091</v>
      </c>
      <c r="J61">
        <f>LN('SDs by Year For Deciles'!J61)</f>
        <v>-0.30712588412998465</v>
      </c>
      <c r="K61">
        <f>LN('SDs by Year For Deciles'!K61)</f>
        <v>-0.37630638588795973</v>
      </c>
    </row>
    <row r="62" spans="1:11" x14ac:dyDescent="0.3">
      <c r="A62">
        <f>'SDs by Year For Deciles'!A62</f>
        <v>1985</v>
      </c>
      <c r="B62">
        <f>LN('SDs by Year For Deciles'!B62)</f>
        <v>-0.27119736165867575</v>
      </c>
      <c r="C62">
        <f>LN('SDs by Year For Deciles'!C62)</f>
        <v>-0.37306132753182947</v>
      </c>
      <c r="D62">
        <f>LN('SDs by Year For Deciles'!D62)</f>
        <v>-0.48324450400522617</v>
      </c>
      <c r="E62">
        <f>LN('SDs by Year For Deciles'!E62)</f>
        <v>-0.51394882923197172</v>
      </c>
      <c r="F62">
        <f>LN('SDs by Year For Deciles'!F62)</f>
        <v>-0.46398179692724134</v>
      </c>
      <c r="G62">
        <f>LN('SDs by Year For Deciles'!G62)</f>
        <v>-0.52501921117897232</v>
      </c>
      <c r="H62">
        <f>LN('SDs by Year For Deciles'!H62)</f>
        <v>-0.53111677036829796</v>
      </c>
      <c r="I62">
        <f>LN('SDs by Year For Deciles'!I62)</f>
        <v>-0.62475235453320266</v>
      </c>
      <c r="J62">
        <f>LN('SDs by Year For Deciles'!J62)</f>
        <v>-0.60795529116775093</v>
      </c>
      <c r="K62">
        <f>LN('SDs by Year For Deciles'!K62)</f>
        <v>-0.66544641407786898</v>
      </c>
    </row>
    <row r="63" spans="1:11" x14ac:dyDescent="0.3">
      <c r="A63">
        <f>'SDs by Year For Deciles'!A63</f>
        <v>1986</v>
      </c>
      <c r="B63">
        <f>LN('SDs by Year For Deciles'!B63)</f>
        <v>-2.1919486261983281E-2</v>
      </c>
      <c r="C63">
        <f>LN('SDs by Year For Deciles'!C63)</f>
        <v>-4.5768583744850558E-2</v>
      </c>
      <c r="D63">
        <f>LN('SDs by Year For Deciles'!D63)</f>
        <v>-0.1248050070923102</v>
      </c>
      <c r="E63">
        <f>LN('SDs by Year For Deciles'!E63)</f>
        <v>-0.19062432961653014</v>
      </c>
      <c r="F63">
        <f>LN('SDs by Year For Deciles'!F63)</f>
        <v>-0.20747076360760525</v>
      </c>
      <c r="G63">
        <f>LN('SDs by Year For Deciles'!G63)</f>
        <v>-0.2575098661479715</v>
      </c>
      <c r="H63">
        <f>LN('SDs by Year For Deciles'!H63)</f>
        <v>-0.125878465402783</v>
      </c>
      <c r="I63">
        <f>LN('SDs by Year For Deciles'!I63)</f>
        <v>-0.28992725766154276</v>
      </c>
      <c r="J63">
        <f>LN('SDs by Year For Deciles'!J63)</f>
        <v>-0.20639460135624133</v>
      </c>
      <c r="K63">
        <f>LN('SDs by Year For Deciles'!K63)</f>
        <v>-0.20796926534329854</v>
      </c>
    </row>
    <row r="64" spans="1:11" x14ac:dyDescent="0.3">
      <c r="A64">
        <f>'SDs by Year For Deciles'!A64</f>
        <v>1987</v>
      </c>
      <c r="B64">
        <f>LN('SDs by Year For Deciles'!B64)</f>
        <v>0.69828396466509768</v>
      </c>
      <c r="C64">
        <f>LN('SDs by Year For Deciles'!C64)</f>
        <v>0.7167318625486403</v>
      </c>
      <c r="D64">
        <f>LN('SDs by Year For Deciles'!D64)</f>
        <v>0.59339314142263777</v>
      </c>
      <c r="E64">
        <f>LN('SDs by Year For Deciles'!E64)</f>
        <v>0.59001196486231877</v>
      </c>
      <c r="F64">
        <f>LN('SDs by Year For Deciles'!F64)</f>
        <v>0.55465493178261205</v>
      </c>
      <c r="G64">
        <f>LN('SDs by Year For Deciles'!G64)</f>
        <v>0.34486548597923472</v>
      </c>
      <c r="H64">
        <f>LN('SDs by Year For Deciles'!H64)</f>
        <v>0.27047741750106291</v>
      </c>
      <c r="I64">
        <f>LN('SDs by Year For Deciles'!I64)</f>
        <v>0.18554136763515283</v>
      </c>
      <c r="J64">
        <f>LN('SDs by Year For Deciles'!J64)</f>
        <v>0.27629751358514287</v>
      </c>
      <c r="K64">
        <f>LN('SDs by Year For Deciles'!K64)</f>
        <v>0.20887422702193015</v>
      </c>
    </row>
    <row r="65" spans="1:11" x14ac:dyDescent="0.3">
      <c r="A65">
        <f>'SDs by Year For Deciles'!A65</f>
        <v>1988</v>
      </c>
      <c r="B65">
        <f>LN('SDs by Year For Deciles'!B65)</f>
        <v>-7.6975502699044521E-3</v>
      </c>
      <c r="C65">
        <f>LN('SDs by Year For Deciles'!C65)</f>
        <v>5.0189185083139257E-2</v>
      </c>
      <c r="D65">
        <f>LN('SDs by Year For Deciles'!D65)</f>
        <v>-6.1635007083759054E-2</v>
      </c>
      <c r="E65">
        <f>LN('SDs by Year For Deciles'!E65)</f>
        <v>-3.6412978531794753E-2</v>
      </c>
      <c r="F65">
        <f>LN('SDs by Year For Deciles'!F65)</f>
        <v>-8.1613607557587745E-2</v>
      </c>
      <c r="G65">
        <f>LN('SDs by Year For Deciles'!G65)</f>
        <v>-0.1811706193765967</v>
      </c>
      <c r="H65">
        <f>LN('SDs by Year For Deciles'!H65)</f>
        <v>-0.10188544958908524</v>
      </c>
      <c r="I65">
        <f>LN('SDs by Year For Deciles'!I65)</f>
        <v>-0.24407994608190178</v>
      </c>
      <c r="J65">
        <f>LN('SDs by Year For Deciles'!J65)</f>
        <v>-0.15639653320238178</v>
      </c>
      <c r="K65">
        <f>LN('SDs by Year For Deciles'!K65)</f>
        <v>-0.2749659330121908</v>
      </c>
    </row>
    <row r="66" spans="1:11" x14ac:dyDescent="0.3">
      <c r="A66">
        <f>'SDs by Year For Deciles'!A66</f>
        <v>1989</v>
      </c>
      <c r="B66">
        <f>LN('SDs by Year For Deciles'!B66)</f>
        <v>-0.19370975688581646</v>
      </c>
      <c r="C66">
        <f>LN('SDs by Year For Deciles'!C66)</f>
        <v>-0.20898057148630217</v>
      </c>
      <c r="D66">
        <f>LN('SDs by Year For Deciles'!D66)</f>
        <v>-0.26223007347150556</v>
      </c>
      <c r="E66">
        <f>LN('SDs by Year For Deciles'!E66)</f>
        <v>-0.33269478020173598</v>
      </c>
      <c r="F66">
        <f>LN('SDs by Year For Deciles'!F66)</f>
        <v>-0.3746323603982934</v>
      </c>
      <c r="G66">
        <f>LN('SDs by Year For Deciles'!G66)</f>
        <v>-0.29694753121671991</v>
      </c>
      <c r="H66">
        <f>LN('SDs by Year For Deciles'!H66)</f>
        <v>-0.33713285478134691</v>
      </c>
      <c r="I66">
        <f>LN('SDs by Year For Deciles'!I66)</f>
        <v>-0.39946017386890564</v>
      </c>
      <c r="J66">
        <f>LN('SDs by Year For Deciles'!J66)</f>
        <v>-0.36116357421239731</v>
      </c>
      <c r="K66">
        <f>LN('SDs by Year For Deciles'!K66)</f>
        <v>-0.50397083824922595</v>
      </c>
    </row>
    <row r="67" spans="1:11" x14ac:dyDescent="0.3">
      <c r="A67">
        <f>'SDs by Year For Deciles'!A67</f>
        <v>1990</v>
      </c>
      <c r="B67">
        <f>LN('SDs by Year For Deciles'!B67)</f>
        <v>0.17938391280661184</v>
      </c>
      <c r="C67">
        <f>LN('SDs by Year For Deciles'!C67)</f>
        <v>7.41886831822135E-2</v>
      </c>
      <c r="D67">
        <f>LN('SDs by Year For Deciles'!D67)</f>
        <v>9.7353545255909918E-2</v>
      </c>
      <c r="E67">
        <f>LN('SDs by Year For Deciles'!E67)</f>
        <v>-0.10070802197716949</v>
      </c>
      <c r="F67">
        <f>LN('SDs by Year For Deciles'!F67)</f>
        <v>-0.14534605454909469</v>
      </c>
      <c r="G67">
        <f>LN('SDs by Year For Deciles'!G67)</f>
        <v>-0.14202795785005717</v>
      </c>
      <c r="H67">
        <f>LN('SDs by Year For Deciles'!H67)</f>
        <v>-8.9269561132932551E-2</v>
      </c>
      <c r="I67">
        <f>LN('SDs by Year For Deciles'!I67)</f>
        <v>-0.22645151660339713</v>
      </c>
      <c r="J67">
        <f>LN('SDs by Year For Deciles'!J67)</f>
        <v>-0.22500152628121825</v>
      </c>
      <c r="K67">
        <f>LN('SDs by Year For Deciles'!K67)</f>
        <v>-6.1888169757019759E-2</v>
      </c>
    </row>
    <row r="68" spans="1:11" x14ac:dyDescent="0.3">
      <c r="A68">
        <f>'SDs by Year For Deciles'!A68</f>
        <v>1991</v>
      </c>
      <c r="B68">
        <f>LN('SDs by Year For Deciles'!B68)</f>
        <v>-1.2067278032126692E-3</v>
      </c>
      <c r="C68">
        <f>LN('SDs by Year For Deciles'!C68)</f>
        <v>-9.3368266538984002E-2</v>
      </c>
      <c r="D68">
        <f>LN('SDs by Year For Deciles'!D68)</f>
        <v>-8.4155821607828016E-2</v>
      </c>
      <c r="E68">
        <f>LN('SDs by Year For Deciles'!E68)</f>
        <v>-0.24044358770491642</v>
      </c>
      <c r="F68">
        <f>LN('SDs by Year For Deciles'!F68)</f>
        <v>-0.19870218979694093</v>
      </c>
      <c r="G68">
        <f>LN('SDs by Year For Deciles'!G68)</f>
        <v>-0.23853514653256536</v>
      </c>
      <c r="H68">
        <f>LN('SDs by Year For Deciles'!H68)</f>
        <v>-0.2689911740082917</v>
      </c>
      <c r="I68">
        <f>LN('SDs by Year For Deciles'!I68)</f>
        <v>-0.24362053093481648</v>
      </c>
      <c r="J68">
        <f>LN('SDs by Year For Deciles'!J68)</f>
        <v>-0.16473196469005</v>
      </c>
      <c r="K68">
        <f>LN('SDs by Year For Deciles'!K68)</f>
        <v>7.3975106184572828E-2</v>
      </c>
    </row>
    <row r="69" spans="1:11" x14ac:dyDescent="0.3">
      <c r="A69">
        <f>'SDs by Year For Deciles'!A69</f>
        <v>1992</v>
      </c>
      <c r="B69">
        <f>LN('SDs by Year For Deciles'!B69)</f>
        <v>-0.21921129278660473</v>
      </c>
      <c r="C69">
        <f>LN('SDs by Year For Deciles'!C69)</f>
        <v>-0.41479903397792467</v>
      </c>
      <c r="D69">
        <f>LN('SDs by Year For Deciles'!D69)</f>
        <v>-0.51259886169015012</v>
      </c>
      <c r="E69">
        <f>LN('SDs by Year For Deciles'!E69)</f>
        <v>-0.57668234668322338</v>
      </c>
      <c r="F69">
        <f>LN('SDs by Year For Deciles'!F69)</f>
        <v>-0.5645903907801666</v>
      </c>
      <c r="G69">
        <f>LN('SDs by Year For Deciles'!G69)</f>
        <v>-0.59288021503187305</v>
      </c>
      <c r="H69">
        <f>LN('SDs by Year For Deciles'!H69)</f>
        <v>-0.70495056726108363</v>
      </c>
      <c r="I69">
        <f>LN('SDs by Year For Deciles'!I69)</f>
        <v>-0.57785257180454497</v>
      </c>
      <c r="J69">
        <f>LN('SDs by Year For Deciles'!J69)</f>
        <v>-0.4404991974142739</v>
      </c>
      <c r="K69">
        <f>LN('SDs by Year For Deciles'!K69)</f>
        <v>2.2674274424015982E-3</v>
      </c>
    </row>
    <row r="70" spans="1:11" x14ac:dyDescent="0.3">
      <c r="A70">
        <f>'SDs by Year For Deciles'!A70</f>
        <v>1993</v>
      </c>
      <c r="B70">
        <f>LN('SDs by Year For Deciles'!B70)</f>
        <v>-0.22194302223770915</v>
      </c>
      <c r="C70">
        <f>LN('SDs by Year For Deciles'!C70)</f>
        <v>-0.50109313842161074</v>
      </c>
      <c r="D70">
        <f>LN('SDs by Year For Deciles'!D70)</f>
        <v>-0.52713625518290097</v>
      </c>
      <c r="E70">
        <f>LN('SDs by Year For Deciles'!E70)</f>
        <v>-0.55375922115117748</v>
      </c>
      <c r="F70">
        <f>LN('SDs by Year For Deciles'!F70)</f>
        <v>-0.66539778129138538</v>
      </c>
      <c r="G70">
        <f>LN('SDs by Year For Deciles'!G70)</f>
        <v>-0.65712581062078712</v>
      </c>
      <c r="H70">
        <f>LN('SDs by Year For Deciles'!H70)</f>
        <v>-0.64548145786174904</v>
      </c>
      <c r="I70">
        <f>LN('SDs by Year For Deciles'!I70)</f>
        <v>-0.68107632732716916</v>
      </c>
      <c r="J70">
        <f>LN('SDs by Year For Deciles'!J70)</f>
        <v>-0.52963304644260911</v>
      </c>
      <c r="K70">
        <f>LN('SDs by Year For Deciles'!K70)</f>
        <v>-0.26445915722385765</v>
      </c>
    </row>
    <row r="71" spans="1:11" x14ac:dyDescent="0.3">
      <c r="A71">
        <f>'SDs by Year For Deciles'!A71</f>
        <v>1994</v>
      </c>
      <c r="B71">
        <f>LN('SDs by Year For Deciles'!B71)</f>
        <v>-0.34896190887443218</v>
      </c>
      <c r="C71">
        <f>LN('SDs by Year For Deciles'!C71)</f>
        <v>-0.45233189814806601</v>
      </c>
      <c r="D71">
        <f>LN('SDs by Year For Deciles'!D71)</f>
        <v>-0.4675298914595703</v>
      </c>
      <c r="E71">
        <f>LN('SDs by Year For Deciles'!E71)</f>
        <v>-0.45108609941513234</v>
      </c>
      <c r="F71">
        <f>LN('SDs by Year For Deciles'!F71)</f>
        <v>-0.59467473327075182</v>
      </c>
      <c r="G71">
        <f>LN('SDs by Year For Deciles'!G71)</f>
        <v>-0.53635883956426256</v>
      </c>
      <c r="H71">
        <f>LN('SDs by Year For Deciles'!H71)</f>
        <v>-0.51732167750969293</v>
      </c>
      <c r="I71">
        <f>LN('SDs by Year For Deciles'!I71)</f>
        <v>-0.49405045040428858</v>
      </c>
      <c r="J71">
        <f>LN('SDs by Year For Deciles'!J71)</f>
        <v>-0.40138245349575319</v>
      </c>
      <c r="K71">
        <f>LN('SDs by Year For Deciles'!K71)</f>
        <v>-0.55911116527885463</v>
      </c>
    </row>
    <row r="72" spans="1:11" x14ac:dyDescent="0.3">
      <c r="A72">
        <f>'SDs by Year For Deciles'!A72</f>
        <v>1995</v>
      </c>
      <c r="B72">
        <f>LN('SDs by Year For Deciles'!B72)</f>
        <v>-0.52970947326778262</v>
      </c>
      <c r="C72">
        <f>LN('SDs by Year For Deciles'!C72)</f>
        <v>-0.60740444128428173</v>
      </c>
      <c r="D72">
        <f>LN('SDs by Year For Deciles'!D72)</f>
        <v>-0.53757351365919614</v>
      </c>
      <c r="E72">
        <f>LN('SDs by Year For Deciles'!E72)</f>
        <v>-0.67508331894301399</v>
      </c>
      <c r="F72">
        <f>LN('SDs by Year For Deciles'!F72)</f>
        <v>-0.69957781282575293</v>
      </c>
      <c r="G72">
        <f>LN('SDs by Year For Deciles'!G72)</f>
        <v>-0.75304581596829667</v>
      </c>
      <c r="H72">
        <f>LN('SDs by Year For Deciles'!H72)</f>
        <v>-0.73033412322715585</v>
      </c>
      <c r="I72">
        <f>LN('SDs by Year For Deciles'!I72)</f>
        <v>-0.58756448958488272</v>
      </c>
      <c r="J72">
        <f>LN('SDs by Year For Deciles'!J72)</f>
        <v>-0.65550270902303243</v>
      </c>
      <c r="K72">
        <f>LN('SDs by Year For Deciles'!K72)</f>
        <v>-0.78933654673536868</v>
      </c>
    </row>
    <row r="73" spans="1:11" x14ac:dyDescent="0.3">
      <c r="A73">
        <f>'SDs by Year For Deciles'!A73</f>
        <v>1996</v>
      </c>
      <c r="B73">
        <f>LN('SDs by Year For Deciles'!B73)</f>
        <v>-0.15638717892794601</v>
      </c>
      <c r="C73">
        <f>LN('SDs by Year For Deciles'!C73)</f>
        <v>-0.2240126788961897</v>
      </c>
      <c r="D73">
        <f>LN('SDs by Year For Deciles'!D73)</f>
        <v>-0.27432237856916203</v>
      </c>
      <c r="E73">
        <f>LN('SDs by Year For Deciles'!E73)</f>
        <v>-0.44649024826109629</v>
      </c>
      <c r="F73">
        <f>LN('SDs by Year For Deciles'!F73)</f>
        <v>-0.3416061928503637</v>
      </c>
      <c r="G73">
        <f>LN('SDs by Year For Deciles'!G73)</f>
        <v>-0.41050981125289848</v>
      </c>
      <c r="H73">
        <f>LN('SDs by Year For Deciles'!H73)</f>
        <v>-0.42588110347608538</v>
      </c>
      <c r="I73">
        <f>LN('SDs by Year For Deciles'!I73)</f>
        <v>-0.36277350240060185</v>
      </c>
      <c r="J73">
        <f>LN('SDs by Year For Deciles'!J73)</f>
        <v>-0.42069550400320799</v>
      </c>
      <c r="K73">
        <f>LN('SDs by Year For Deciles'!K73)</f>
        <v>-0.45065286873185711</v>
      </c>
    </row>
    <row r="74" spans="1:11" x14ac:dyDescent="0.3">
      <c r="A74">
        <f>'SDs by Year For Deciles'!A74</f>
        <v>1997</v>
      </c>
      <c r="B74">
        <f>LN('SDs by Year For Deciles'!B74)</f>
        <v>0.23727522715737634</v>
      </c>
      <c r="C74">
        <f>LN('SDs by Year For Deciles'!C74)</f>
        <v>6.2664891990191804E-2</v>
      </c>
      <c r="D74">
        <f>LN('SDs by Year For Deciles'!D74)</f>
        <v>5.1329793721441738E-2</v>
      </c>
      <c r="E74">
        <f>LN('SDs by Year For Deciles'!E74)</f>
        <v>3.2641424715762202E-2</v>
      </c>
      <c r="F74">
        <f>LN('SDs by Year For Deciles'!F74)</f>
        <v>-2.0090468718547437E-2</v>
      </c>
      <c r="G74">
        <f>LN('SDs by Year For Deciles'!G74)</f>
        <v>-3.8973703662637547E-2</v>
      </c>
      <c r="H74">
        <f>LN('SDs by Year For Deciles'!H74)</f>
        <v>-0.11504167163069205</v>
      </c>
      <c r="I74">
        <f>LN('SDs by Year For Deciles'!I74)</f>
        <v>-0.10678820098235399</v>
      </c>
      <c r="J74">
        <f>LN('SDs by Year For Deciles'!J74)</f>
        <v>-0.23967316576546921</v>
      </c>
      <c r="K74">
        <f>LN('SDs by Year For Deciles'!K74)</f>
        <v>-0.17034120861302263</v>
      </c>
    </row>
    <row r="75" spans="1:11" x14ac:dyDescent="0.3">
      <c r="A75">
        <f>'SDs by Year For Deciles'!A75</f>
        <v>1998</v>
      </c>
      <c r="B75">
        <f>LN('SDs by Year For Deciles'!B75)</f>
        <v>0.35058644659817489</v>
      </c>
      <c r="C75">
        <f>LN('SDs by Year For Deciles'!C75)</f>
        <v>0.27714677053639819</v>
      </c>
      <c r="D75">
        <f>LN('SDs by Year For Deciles'!D75)</f>
        <v>0.1636058385980135</v>
      </c>
      <c r="E75">
        <f>LN('SDs by Year For Deciles'!E75)</f>
        <v>0.33833478671168399</v>
      </c>
      <c r="F75">
        <f>LN('SDs by Year For Deciles'!F75)</f>
        <v>0.2579313767998736</v>
      </c>
      <c r="G75">
        <f>LN('SDs by Year For Deciles'!G75)</f>
        <v>0.18306294856181288</v>
      </c>
      <c r="H75">
        <f>LN('SDs by Year For Deciles'!H75)</f>
        <v>0.1881130867940761</v>
      </c>
      <c r="I75">
        <f>LN('SDs by Year For Deciles'!I75)</f>
        <v>2.5463047436529967E-2</v>
      </c>
      <c r="J75">
        <f>LN('SDs by Year For Deciles'!J75)</f>
        <v>-7.5746698748386757E-2</v>
      </c>
      <c r="K75">
        <f>LN('SDs by Year For Deciles'!K75)</f>
        <v>0.11056594387759361</v>
      </c>
    </row>
    <row r="76" spans="1:11" x14ac:dyDescent="0.3">
      <c r="A76">
        <f>'SDs by Year For Deciles'!A76</f>
        <v>1999</v>
      </c>
      <c r="B76">
        <f>LN('SDs by Year For Deciles'!B76)</f>
        <v>0.29685487338411559</v>
      </c>
      <c r="C76">
        <f>LN('SDs by Year For Deciles'!C76)</f>
        <v>0.19468646196408521</v>
      </c>
      <c r="D76">
        <f>LN('SDs by Year For Deciles'!D76)</f>
        <v>7.1948499312584041E-2</v>
      </c>
      <c r="E76">
        <f>LN('SDs by Year For Deciles'!E76)</f>
        <v>0.1319839459462564</v>
      </c>
      <c r="F76">
        <f>LN('SDs by Year For Deciles'!F76)</f>
        <v>3.8720588111598959E-2</v>
      </c>
      <c r="G76">
        <f>LN('SDs by Year For Deciles'!G76)</f>
        <v>-0.10903615142697941</v>
      </c>
      <c r="H76">
        <f>LN('SDs by Year For Deciles'!H76)</f>
        <v>-4.723627208531251E-2</v>
      </c>
      <c r="I76">
        <f>LN('SDs by Year For Deciles'!I76)</f>
        <v>-0.23321156409162391</v>
      </c>
      <c r="J76">
        <f>LN('SDs by Year For Deciles'!J76)</f>
        <v>-0.32596978098926338</v>
      </c>
      <c r="K76">
        <f>LN('SDs by Year For Deciles'!K76)</f>
        <v>-0.18807809390633423</v>
      </c>
    </row>
    <row r="77" spans="1:11" x14ac:dyDescent="0.3">
      <c r="A77">
        <f>'SDs by Year For Deciles'!A77</f>
        <v>2000</v>
      </c>
      <c r="B77">
        <f>LN('SDs by Year For Deciles'!B77)</f>
        <v>0.63909218143720103</v>
      </c>
      <c r="C77">
        <f>LN('SDs by Year For Deciles'!C77)</f>
        <v>0.31863553277343049</v>
      </c>
      <c r="D77">
        <f>LN('SDs by Year For Deciles'!D77)</f>
        <v>0.3292030226455982</v>
      </c>
      <c r="E77">
        <f>LN('SDs by Year For Deciles'!E77)</f>
        <v>0.28629861591694805</v>
      </c>
      <c r="F77">
        <f>LN('SDs by Year For Deciles'!F77)</f>
        <v>0.30472353830663262</v>
      </c>
      <c r="G77">
        <f>LN('SDs by Year For Deciles'!G77)</f>
        <v>8.8898761425217229E-2</v>
      </c>
      <c r="H77">
        <f>LN('SDs by Year For Deciles'!H77)</f>
        <v>0.11689375147149943</v>
      </c>
      <c r="I77">
        <f>LN('SDs by Year For Deciles'!I77)</f>
        <v>0.16011855089275923</v>
      </c>
      <c r="J77">
        <f>LN('SDs by Year For Deciles'!J77)</f>
        <v>0.10515249402282628</v>
      </c>
      <c r="K77">
        <f>LN('SDs by Year For Deciles'!K77)</f>
        <v>0.16868736551815103</v>
      </c>
    </row>
    <row r="78" spans="1:11" x14ac:dyDescent="0.3">
      <c r="A78">
        <f>'SDs by Year For Deciles'!A78</f>
        <v>2001</v>
      </c>
      <c r="B78">
        <f>LN('SDs by Year For Deciles'!B78)</f>
        <v>0.55459750309466938</v>
      </c>
      <c r="C78">
        <f>LN('SDs by Year For Deciles'!C78)</f>
        <v>0.27654023203293632</v>
      </c>
      <c r="D78">
        <f>LN('SDs by Year For Deciles'!D78)</f>
        <v>0.20068524081091252</v>
      </c>
      <c r="E78">
        <f>LN('SDs by Year For Deciles'!E78)</f>
        <v>0.18250487332378618</v>
      </c>
      <c r="F78">
        <f>LN('SDs by Year For Deciles'!F78)</f>
        <v>0.18595660864699909</v>
      </c>
      <c r="G78">
        <f>LN('SDs by Year For Deciles'!G78)</f>
        <v>4.9380466097437722E-2</v>
      </c>
      <c r="H78">
        <f>LN('SDs by Year For Deciles'!H78)</f>
        <v>0.18528383158906764</v>
      </c>
      <c r="I78">
        <f>LN('SDs by Year For Deciles'!I78)</f>
        <v>0.17885722960273681</v>
      </c>
      <c r="J78">
        <f>LN('SDs by Year For Deciles'!J78)</f>
        <v>0.19697204570043894</v>
      </c>
      <c r="K78">
        <f>LN('SDs by Year For Deciles'!K78)</f>
        <v>0.27491593092210703</v>
      </c>
    </row>
    <row r="79" spans="1:11" x14ac:dyDescent="0.3">
      <c r="A79">
        <f>'SDs by Year For Deciles'!A79</f>
        <v>2002</v>
      </c>
      <c r="B79">
        <f>LN('SDs by Year For Deciles'!B79)</f>
        <v>0.49083513882566865</v>
      </c>
      <c r="C79">
        <f>LN('SDs by Year For Deciles'!C79)</f>
        <v>0.56859818231379899</v>
      </c>
      <c r="D79">
        <f>LN('SDs by Year For Deciles'!D79)</f>
        <v>0.50890578204867132</v>
      </c>
      <c r="E79">
        <f>LN('SDs by Year For Deciles'!E79)</f>
        <v>0.5413179707015815</v>
      </c>
      <c r="F79">
        <f>LN('SDs by Year For Deciles'!F79)</f>
        <v>0.34467422247066642</v>
      </c>
      <c r="G79">
        <f>LN('SDs by Year For Deciles'!G79)</f>
        <v>0.45594273659737955</v>
      </c>
      <c r="H79">
        <f>LN('SDs by Year For Deciles'!H79)</f>
        <v>0.42523505513178766</v>
      </c>
      <c r="I79">
        <f>LN('SDs by Year For Deciles'!I79)</f>
        <v>0.52014407185497069</v>
      </c>
      <c r="J79">
        <f>LN('SDs by Year For Deciles'!J79)</f>
        <v>0.60787247649871101</v>
      </c>
      <c r="K79">
        <f>LN('SDs by Year For Deciles'!K79)</f>
        <v>0.45476942579230772</v>
      </c>
    </row>
    <row r="80" spans="1:11" x14ac:dyDescent="0.3">
      <c r="A80">
        <f>'SDs by Year For Deciles'!A80</f>
        <v>2003</v>
      </c>
      <c r="B80">
        <f>LN('SDs by Year For Deciles'!B80)</f>
        <v>2.852914611397361E-2</v>
      </c>
      <c r="C80">
        <f>LN('SDs by Year For Deciles'!C80)</f>
        <v>0.10784043810664656</v>
      </c>
      <c r="D80">
        <f>LN('SDs by Year For Deciles'!D80)</f>
        <v>0.11589681341271334</v>
      </c>
      <c r="E80">
        <f>LN('SDs by Year For Deciles'!E80)</f>
        <v>7.7136951588903255E-2</v>
      </c>
      <c r="F80">
        <f>LN('SDs by Year For Deciles'!F80)</f>
        <v>-9.7422108356305603E-2</v>
      </c>
      <c r="G80">
        <f>LN('SDs by Year For Deciles'!G80)</f>
        <v>2.4097313483793976E-2</v>
      </c>
      <c r="H80">
        <f>LN('SDs by Year For Deciles'!H80)</f>
        <v>-1.4866967728000308E-2</v>
      </c>
      <c r="I80">
        <f>LN('SDs by Year For Deciles'!I80)</f>
        <v>0.13564041706816146</v>
      </c>
      <c r="J80">
        <f>LN('SDs by Year For Deciles'!J80)</f>
        <v>0.23350567855572427</v>
      </c>
      <c r="K80">
        <f>LN('SDs by Year For Deciles'!K80)</f>
        <v>0.24261671257771025</v>
      </c>
    </row>
    <row r="81" spans="1:11" x14ac:dyDescent="0.3">
      <c r="A81">
        <f>'SDs by Year For Deciles'!A81</f>
        <v>2004</v>
      </c>
      <c r="B81">
        <f>LN('SDs by Year For Deciles'!B81)</f>
        <v>-0.34795025779924194</v>
      </c>
      <c r="C81">
        <f>LN('SDs by Year For Deciles'!C81)</f>
        <v>-0.23112532105586744</v>
      </c>
      <c r="D81">
        <f>LN('SDs by Year For Deciles'!D81)</f>
        <v>-0.26654569447373089</v>
      </c>
      <c r="E81">
        <f>LN('SDs by Year For Deciles'!E81)</f>
        <v>-0.26880143868849288</v>
      </c>
      <c r="F81">
        <f>LN('SDs by Year For Deciles'!F81)</f>
        <v>-0.28700896570562973</v>
      </c>
      <c r="G81">
        <f>LN('SDs by Year For Deciles'!G81)</f>
        <v>-0.23661133616177984</v>
      </c>
      <c r="H81">
        <f>LN('SDs by Year For Deciles'!H81)</f>
        <v>-0.28776207565195155</v>
      </c>
      <c r="I81">
        <f>LN('SDs by Year For Deciles'!I81)</f>
        <v>-0.21386671453400063</v>
      </c>
      <c r="J81">
        <f>LN('SDs by Year For Deciles'!J81)</f>
        <v>-0.18677063930006718</v>
      </c>
      <c r="K81">
        <f>LN('SDs by Year For Deciles'!K81)</f>
        <v>-7.8547680793780057E-3</v>
      </c>
    </row>
    <row r="82" spans="1:11" x14ac:dyDescent="0.3">
      <c r="A82">
        <f>'SDs by Year For Deciles'!A82</f>
        <v>2005</v>
      </c>
      <c r="B82">
        <f>LN('SDs by Year For Deciles'!B82)</f>
        <v>-0.47136936143351865</v>
      </c>
      <c r="C82">
        <f>LN('SDs by Year For Deciles'!C82)</f>
        <v>-0.35597233368427877</v>
      </c>
      <c r="D82">
        <f>LN('SDs by Year For Deciles'!D82)</f>
        <v>-0.2689165841055054</v>
      </c>
      <c r="E82">
        <f>LN('SDs by Year For Deciles'!E82)</f>
        <v>-0.34902428500820959</v>
      </c>
      <c r="F82">
        <f>LN('SDs by Year For Deciles'!F82)</f>
        <v>-0.31191738961764515</v>
      </c>
      <c r="G82">
        <f>LN('SDs by Year For Deciles'!G82)</f>
        <v>-0.30581617251404081</v>
      </c>
      <c r="H82">
        <f>LN('SDs by Year For Deciles'!H82)</f>
        <v>-0.36798436937124596</v>
      </c>
      <c r="I82">
        <f>LN('SDs by Year For Deciles'!I82)</f>
        <v>-0.37504987659038458</v>
      </c>
      <c r="J82">
        <f>LN('SDs by Year For Deciles'!J82)</f>
        <v>-0.30632952721673817</v>
      </c>
      <c r="K82">
        <f>LN('SDs by Year For Deciles'!K82)</f>
        <v>-0.31280434399901053</v>
      </c>
    </row>
    <row r="83" spans="1:11" x14ac:dyDescent="0.3">
      <c r="A83">
        <f>'SDs by Year For Deciles'!A83</f>
        <v>2006</v>
      </c>
      <c r="B83">
        <f>LN('SDs by Year For Deciles'!B83)</f>
        <v>-0.38266257327286107</v>
      </c>
      <c r="C83">
        <f>LN('SDs by Year For Deciles'!C83)</f>
        <v>-0.35765113454348979</v>
      </c>
      <c r="D83">
        <f>LN('SDs by Year For Deciles'!D83)</f>
        <v>-0.36865065305785333</v>
      </c>
      <c r="E83">
        <f>LN('SDs by Year For Deciles'!E83)</f>
        <v>-0.33491624779993101</v>
      </c>
      <c r="F83">
        <f>LN('SDs by Year For Deciles'!F83)</f>
        <v>-0.27786640413055114</v>
      </c>
      <c r="G83">
        <f>LN('SDs by Year For Deciles'!G83)</f>
        <v>-0.35764112482691485</v>
      </c>
      <c r="H83">
        <f>LN('SDs by Year For Deciles'!H83)</f>
        <v>-0.37544136542449097</v>
      </c>
      <c r="I83">
        <f>LN('SDs by Year For Deciles'!I83)</f>
        <v>-0.44768651885470495</v>
      </c>
      <c r="J83">
        <f>LN('SDs by Year For Deciles'!J83)</f>
        <v>-0.33884204239409699</v>
      </c>
      <c r="K83">
        <f>LN('SDs by Year For Deciles'!K83)</f>
        <v>-0.35143015051625021</v>
      </c>
    </row>
    <row r="84" spans="1:11" x14ac:dyDescent="0.3">
      <c r="A84">
        <f>'SDs by Year For Deciles'!A84</f>
        <v>2007</v>
      </c>
      <c r="B84">
        <f>LN('SDs by Year For Deciles'!B84)</f>
        <v>-1.5836741826346576E-2</v>
      </c>
      <c r="C84">
        <f>LN('SDs by Year For Deciles'!C84)</f>
        <v>-4.6378025715938527E-2</v>
      </c>
      <c r="D84">
        <f>LN('SDs by Year For Deciles'!D84)</f>
        <v>-6.966095174573543E-2</v>
      </c>
      <c r="E84">
        <f>LN('SDs by Year For Deciles'!E84)</f>
        <v>1.0094902931736811E-3</v>
      </c>
      <c r="F84">
        <f>LN('SDs by Year For Deciles'!F84)</f>
        <v>0.16699639069120875</v>
      </c>
      <c r="G84">
        <f>LN('SDs by Year For Deciles'!G84)</f>
        <v>4.1228311962142078E-2</v>
      </c>
      <c r="H84">
        <f>LN('SDs by Year For Deciles'!H84)</f>
        <v>0.16557375875198937</v>
      </c>
      <c r="I84">
        <f>LN('SDs by Year For Deciles'!I84)</f>
        <v>-5.8390139107977477E-3</v>
      </c>
      <c r="J84">
        <f>LN('SDs by Year For Deciles'!J84)</f>
        <v>0.13617290076797442</v>
      </c>
      <c r="K84">
        <f>LN('SDs by Year For Deciles'!K84)</f>
        <v>4.1918992597781618E-2</v>
      </c>
    </row>
    <row r="85" spans="1:11" x14ac:dyDescent="0.3">
      <c r="A85">
        <f>'SDs by Year For Deciles'!A85</f>
        <v>2008</v>
      </c>
      <c r="B85">
        <f>LN('SDs by Year For Deciles'!B85)</f>
        <v>0.86300809162856662</v>
      </c>
      <c r="C85">
        <f>LN('SDs by Year For Deciles'!C85)</f>
        <v>0.82940734669322425</v>
      </c>
      <c r="D85">
        <f>LN('SDs by Year For Deciles'!D85)</f>
        <v>0.80906625790264386</v>
      </c>
      <c r="E85">
        <f>LN('SDs by Year For Deciles'!E85)</f>
        <v>0.93544609091389641</v>
      </c>
      <c r="F85">
        <f>LN('SDs by Year For Deciles'!F85)</f>
        <v>0.98236682034900447</v>
      </c>
      <c r="G85">
        <f>LN('SDs by Year For Deciles'!G85)</f>
        <v>0.93456670422939858</v>
      </c>
      <c r="H85">
        <f>LN('SDs by Year For Deciles'!H85)</f>
        <v>1.1024515758308282</v>
      </c>
      <c r="I85">
        <f>LN('SDs by Year For Deciles'!I85)</f>
        <v>1.2134190477523432</v>
      </c>
      <c r="J85">
        <f>LN('SDs by Year For Deciles'!J85)</f>
        <v>1.0691216841010509</v>
      </c>
      <c r="K85">
        <f>LN('SDs by Year For Deciles'!K85)</f>
        <v>1.1783903459402025</v>
      </c>
    </row>
    <row r="86" spans="1:11" x14ac:dyDescent="0.3">
      <c r="A86">
        <f>'SDs by Year For Deciles'!A86</f>
        <v>2009</v>
      </c>
      <c r="B86">
        <f>LN('SDs by Year For Deciles'!B86)</f>
        <v>0.35616981638328693</v>
      </c>
      <c r="C86">
        <f>LN('SDs by Year For Deciles'!C86)</f>
        <v>0.36119272338755598</v>
      </c>
      <c r="D86">
        <f>LN('SDs by Year For Deciles'!D86)</f>
        <v>0.44486529233503613</v>
      </c>
      <c r="E86">
        <f>LN('SDs by Year For Deciles'!E86)</f>
        <v>0.5857735287916026</v>
      </c>
      <c r="F86">
        <f>LN('SDs by Year For Deciles'!F86)</f>
        <v>0.62619508242064592</v>
      </c>
      <c r="G86">
        <f>LN('SDs by Year For Deciles'!G86)</f>
        <v>0.71474231799653498</v>
      </c>
      <c r="H86">
        <f>LN('SDs by Year For Deciles'!H86)</f>
        <v>0.77385582029765065</v>
      </c>
      <c r="I86">
        <f>LN('SDs by Year For Deciles'!I86)</f>
        <v>1.0425426936144964</v>
      </c>
      <c r="J86">
        <f>LN('SDs by Year For Deciles'!J86)</f>
        <v>1.0709806948335505</v>
      </c>
      <c r="K86">
        <f>LN('SDs by Year For Deciles'!K86)</f>
        <v>1.1568403154533102</v>
      </c>
    </row>
    <row r="87" spans="1:11" x14ac:dyDescent="0.3">
      <c r="A87">
        <f>'SDs by Year For Deciles'!A87</f>
        <v>2010</v>
      </c>
      <c r="B87">
        <f>LN('SDs by Year For Deciles'!B87)</f>
        <v>-9.7938031042754062E-3</v>
      </c>
      <c r="C87">
        <f>LN('SDs by Year For Deciles'!C87)</f>
        <v>4.519322674875343E-2</v>
      </c>
      <c r="D87">
        <f>LN('SDs by Year For Deciles'!D87)</f>
        <v>0.10426992117579686</v>
      </c>
      <c r="E87">
        <f>LN('SDs by Year For Deciles'!E87)</f>
        <v>0.20196077204630308</v>
      </c>
      <c r="F87">
        <f>LN('SDs by Year For Deciles'!F87)</f>
        <v>0.22766929467060426</v>
      </c>
      <c r="G87">
        <f>LN('SDs by Year For Deciles'!G87)</f>
        <v>0.2158208053343583</v>
      </c>
      <c r="H87">
        <f>LN('SDs by Year For Deciles'!H87)</f>
        <v>0.35142418278844334</v>
      </c>
      <c r="I87">
        <f>LN('SDs by Year For Deciles'!I87)</f>
        <v>0.31608729695694776</v>
      </c>
      <c r="J87">
        <f>LN('SDs by Year For Deciles'!J87)</f>
        <v>0.4287258016827164</v>
      </c>
      <c r="K87">
        <f>LN('SDs by Year For Deciles'!K87)</f>
        <v>0.61983427687089465</v>
      </c>
    </row>
    <row r="88" spans="1:11" x14ac:dyDescent="0.3">
      <c r="A88">
        <f>'SDs by Year For Deciles'!A88</f>
        <v>2011</v>
      </c>
      <c r="B88">
        <f>LN('SDs by Year For Deciles'!B88)</f>
        <v>0.31915166932117622</v>
      </c>
      <c r="C88">
        <f>LN('SDs by Year For Deciles'!C88)</f>
        <v>0.41753200932630241</v>
      </c>
      <c r="D88">
        <f>LN('SDs by Year For Deciles'!D88)</f>
        <v>0.2394577481647637</v>
      </c>
      <c r="E88">
        <f>LN('SDs by Year For Deciles'!E88)</f>
        <v>0.45311176157551736</v>
      </c>
      <c r="F88">
        <f>LN('SDs by Year For Deciles'!F88)</f>
        <v>0.39040561434837506</v>
      </c>
      <c r="G88">
        <f>LN('SDs by Year For Deciles'!G88)</f>
        <v>0.52294587586398622</v>
      </c>
      <c r="H88">
        <f>LN('SDs by Year For Deciles'!H88)</f>
        <v>0.34461045983767319</v>
      </c>
      <c r="I88">
        <f>LN('SDs by Year For Deciles'!I88)</f>
        <v>0.47630871038032968</v>
      </c>
      <c r="J88">
        <f>LN('SDs by Year For Deciles'!J88)</f>
        <v>0.64683095368252252</v>
      </c>
      <c r="K88">
        <f>LN('SDs by Year For Deciles'!K88)</f>
        <v>0.81879256016034307</v>
      </c>
    </row>
    <row r="89" spans="1:11" x14ac:dyDescent="0.3">
      <c r="A89">
        <f>'SDs by Year For Deciles'!A89</f>
        <v>2012</v>
      </c>
      <c r="B89">
        <f>LN('SDs by Year For Deciles'!B89)</f>
        <v>-0.12807999282751312</v>
      </c>
      <c r="C89">
        <f>LN('SDs by Year For Deciles'!C89)</f>
        <v>-0.18162739777808151</v>
      </c>
      <c r="D89">
        <f>LN('SDs by Year For Deciles'!D89)</f>
        <v>-0.30942201513214379</v>
      </c>
      <c r="E89">
        <f>LN('SDs by Year For Deciles'!E89)</f>
        <v>-0.11984378253743376</v>
      </c>
      <c r="F89">
        <f>LN('SDs by Year For Deciles'!F89)</f>
        <v>-0.20335317899508276</v>
      </c>
      <c r="G89">
        <f>LN('SDs by Year For Deciles'!G89)</f>
        <v>-9.6645270641603123E-2</v>
      </c>
      <c r="H89">
        <f>LN('SDs by Year For Deciles'!H89)</f>
        <v>-0.31630104980045909</v>
      </c>
      <c r="I89">
        <f>LN('SDs by Year For Deciles'!I89)</f>
        <v>-0.16810154214617543</v>
      </c>
      <c r="J89">
        <f>LN('SDs by Year For Deciles'!J89)</f>
        <v>5.7832447557273608E-3</v>
      </c>
      <c r="K89">
        <f>LN('SDs by Year For Deciles'!K89)</f>
        <v>0.35852024033161811</v>
      </c>
    </row>
    <row r="90" spans="1:11" x14ac:dyDescent="0.3">
      <c r="A90">
        <f>'SDs by Year For Deciles'!A90</f>
        <v>2013</v>
      </c>
      <c r="B90">
        <f>LN('SDs by Year For Deciles'!B90)</f>
        <v>-0.3214360488103386</v>
      </c>
      <c r="C90">
        <f>LN('SDs by Year For Deciles'!C90)</f>
        <v>-0.41426017153979255</v>
      </c>
      <c r="D90">
        <f>LN('SDs by Year For Deciles'!D90)</f>
        <v>-0.33973073978094925</v>
      </c>
      <c r="E90">
        <f>LN('SDs by Year For Deciles'!E90)</f>
        <v>-0.34794459316806609</v>
      </c>
      <c r="F90">
        <f>LN('SDs by Year For Deciles'!F90)</f>
        <v>-0.31720151546790976</v>
      </c>
      <c r="G90">
        <f>LN('SDs by Year For Deciles'!G90)</f>
        <v>-0.32724513753413031</v>
      </c>
      <c r="H90">
        <f>LN('SDs by Year For Deciles'!H90)</f>
        <v>-0.30489876615813588</v>
      </c>
      <c r="I90">
        <f>LN('SDs by Year For Deciles'!I90)</f>
        <v>-0.2422906934877096</v>
      </c>
      <c r="J90">
        <f>LN('SDs by Year For Deciles'!J90)</f>
        <v>-0.17403320031481398</v>
      </c>
      <c r="K90">
        <f>LN('SDs by Year For Deciles'!K90)</f>
        <v>3.9076471981792843E-2</v>
      </c>
    </row>
    <row r="91" spans="1:11" x14ac:dyDescent="0.3">
      <c r="A91">
        <f>'SDs by Year For Deciles'!A91</f>
        <v>2014</v>
      </c>
      <c r="B91">
        <f>LN('SDs by Year For Deciles'!B91)</f>
        <v>-0.11406607711352797</v>
      </c>
      <c r="C91">
        <f>LN('SDs by Year For Deciles'!C91)</f>
        <v>-0.32998432868568783</v>
      </c>
      <c r="D91">
        <f>LN('SDs by Year For Deciles'!D91)</f>
        <v>-0.30082810412179617</v>
      </c>
      <c r="E91">
        <f>LN('SDs by Year For Deciles'!E91)</f>
        <v>-0.26055859566905137</v>
      </c>
      <c r="F91">
        <f>LN('SDs by Year For Deciles'!F91)</f>
        <v>-0.25474258340998246</v>
      </c>
      <c r="G91">
        <f>LN('SDs by Year For Deciles'!G91)</f>
        <v>-0.27739252521160473</v>
      </c>
      <c r="H91">
        <f>LN('SDs by Year For Deciles'!H91)</f>
        <v>-0.213541053225072</v>
      </c>
      <c r="I91">
        <f>LN('SDs by Year For Deciles'!I91)</f>
        <v>-0.29186547736733343</v>
      </c>
      <c r="J91">
        <f>LN('SDs by Year For Deciles'!J91)</f>
        <v>-0.26267991427965182</v>
      </c>
      <c r="K91">
        <f>LN('SDs by Year For Deciles'!K91)</f>
        <v>-4.4994227860345661E-2</v>
      </c>
    </row>
    <row r="92" spans="1:11" x14ac:dyDescent="0.3">
      <c r="A92">
        <f>'SDs by Year For Deciles'!A92</f>
        <v>2015</v>
      </c>
      <c r="B92">
        <f>LN('SDs by Year For Deciles'!B92)</f>
        <v>2.723571761924265E-2</v>
      </c>
      <c r="C92">
        <f>LN('SDs by Year For Deciles'!C92)</f>
        <v>-4.3231144192277471E-2</v>
      </c>
      <c r="D92">
        <f>LN('SDs by Year For Deciles'!D92)</f>
        <v>-1.3413560917421635E-2</v>
      </c>
      <c r="E92">
        <f>LN('SDs by Year For Deciles'!E92)</f>
        <v>-2.0748774752553253E-2</v>
      </c>
      <c r="F92">
        <f>LN('SDs by Year For Deciles'!F92)</f>
        <v>-1.1911663008212413E-2</v>
      </c>
      <c r="G92">
        <f>LN('SDs by Year For Deciles'!G92)</f>
        <v>5.3158458222358511E-3</v>
      </c>
      <c r="H92">
        <f>LN('SDs by Year For Deciles'!H92)</f>
        <v>1.7574657016510519E-2</v>
      </c>
      <c r="I92">
        <f>LN('SDs by Year For Deciles'!I92)</f>
        <v>1.5288307424907528E-3</v>
      </c>
      <c r="J92">
        <f>LN('SDs by Year For Deciles'!J92)</f>
        <v>0.13313131260318295</v>
      </c>
      <c r="K92">
        <f>LN('SDs by Year For Deciles'!K92)</f>
        <v>0.24220865180238249</v>
      </c>
    </row>
    <row r="93" spans="1:11" x14ac:dyDescent="0.3">
      <c r="A93">
        <f>'SDs by Year For Deciles'!A93</f>
        <v>2016</v>
      </c>
      <c r="B93">
        <f>LN('SDs by Year For Deciles'!B93)</f>
        <v>-0.17967346608311599</v>
      </c>
      <c r="C93">
        <f>LN('SDs by Year For Deciles'!C93)</f>
        <v>-0.13150487596860549</v>
      </c>
      <c r="D93">
        <f>LN('SDs by Year For Deciles'!D93)</f>
        <v>-0.19115929480813881</v>
      </c>
      <c r="E93">
        <f>LN('SDs by Year For Deciles'!E93)</f>
        <v>-0.14680770557199979</v>
      </c>
      <c r="F93">
        <f>LN('SDs by Year For Deciles'!F93)</f>
        <v>-0.12692015225791139</v>
      </c>
      <c r="G93">
        <f>LN('SDs by Year For Deciles'!G93)</f>
        <v>-0.11709689610397299</v>
      </c>
      <c r="H93">
        <f>LN('SDs by Year For Deciles'!H93)</f>
        <v>-5.9659774930927986E-2</v>
      </c>
      <c r="I93">
        <f>LN('SDs by Year For Deciles'!I93)</f>
        <v>-9.9432565170891954E-2</v>
      </c>
      <c r="J93">
        <f>LN('SDs by Year For Deciles'!J93)</f>
        <v>0.26651716767684558</v>
      </c>
      <c r="K93">
        <f>LN('SDs by Year For Deciles'!K93)</f>
        <v>0.47888903683370748</v>
      </c>
    </row>
    <row r="94" spans="1:11" x14ac:dyDescent="0.3">
      <c r="A94">
        <f>'SDs by Year For Deciles'!A94</f>
        <v>2017</v>
      </c>
      <c r="B94">
        <f>LN('SDs by Year For Deciles'!B94)</f>
        <v>-0.81990612946856478</v>
      </c>
      <c r="C94">
        <f>LN('SDs by Year For Deciles'!C94)</f>
        <v>-0.54844615123289842</v>
      </c>
      <c r="D94">
        <f>LN('SDs by Year For Deciles'!D94)</f>
        <v>-0.7846793062071703</v>
      </c>
      <c r="E94">
        <f>LN('SDs by Year For Deciles'!E94)</f>
        <v>-0.73860490348472863</v>
      </c>
      <c r="F94">
        <f>LN('SDs by Year For Deciles'!F94)</f>
        <v>-0.6879148928822898</v>
      </c>
      <c r="G94">
        <f>LN('SDs by Year For Deciles'!G94)</f>
        <v>-0.65630043688985196</v>
      </c>
      <c r="H94">
        <f>LN('SDs by Year For Deciles'!H94)</f>
        <v>-0.69064032534876452</v>
      </c>
      <c r="I94">
        <f>LN('SDs by Year For Deciles'!I94)</f>
        <v>-0.49987249555217422</v>
      </c>
      <c r="J94">
        <f>LN('SDs by Year For Deciles'!J94)</f>
        <v>-0.29469460286961852</v>
      </c>
      <c r="K94">
        <f>LN('SDs by Year For Deciles'!K94)</f>
        <v>-4.1397159896152294E-2</v>
      </c>
    </row>
    <row r="95" spans="1:11" x14ac:dyDescent="0.3">
      <c r="A95">
        <f>'SDs by Year For Deciles'!A95</f>
        <v>2018</v>
      </c>
      <c r="B95">
        <f>LN('SDs by Year For Deciles'!B95)</f>
        <v>0.26191801106509732</v>
      </c>
      <c r="C95">
        <f>LN('SDs by Year For Deciles'!C95)</f>
        <v>0.18918130814166426</v>
      </c>
      <c r="D95">
        <f>LN('SDs by Year For Deciles'!D95)</f>
        <v>6.065285671194405E-2</v>
      </c>
      <c r="E95">
        <f>LN('SDs by Year For Deciles'!E95)</f>
        <v>0.11505041656245515</v>
      </c>
      <c r="F95">
        <f>LN('SDs by Year For Deciles'!F95)</f>
        <v>8.0187312602355176E-2</v>
      </c>
      <c r="G95">
        <f>LN('SDs by Year For Deciles'!G95)</f>
        <v>-5.0448388263381425E-2</v>
      </c>
      <c r="H95">
        <f>LN('SDs by Year For Deciles'!H95)</f>
        <v>-6.1704141788504266E-2</v>
      </c>
      <c r="I95">
        <f>LN('SDs by Year For Deciles'!I95)</f>
        <v>0.10426091131450356</v>
      </c>
      <c r="J95">
        <f>LN('SDs by Year For Deciles'!J95)</f>
        <v>0.1273988771308717</v>
      </c>
      <c r="K95">
        <f>LN('SDs by Year For Deciles'!K95)</f>
        <v>0.22061235052667785</v>
      </c>
    </row>
    <row r="96" spans="1:11" x14ac:dyDescent="0.3">
      <c r="A96">
        <f>'SDs by Year For Deciles'!A96</f>
        <v>2019</v>
      </c>
      <c r="B96">
        <f>LN('SDs by Year For Deciles'!B96)</f>
        <v>-6.0215080689851493E-2</v>
      </c>
      <c r="C96">
        <f>LN('SDs by Year For Deciles'!C96)</f>
        <v>-0.12812432292305176</v>
      </c>
      <c r="D96">
        <f>LN('SDs by Year For Deciles'!D96)</f>
        <v>-0.18032115892456921</v>
      </c>
      <c r="E96">
        <f>LN('SDs by Year For Deciles'!E96)</f>
        <v>-0.17990807159383071</v>
      </c>
      <c r="F96">
        <f>LN('SDs by Year For Deciles'!F96)</f>
        <v>-0.18872642423703687</v>
      </c>
      <c r="G96">
        <f>LN('SDs by Year For Deciles'!G96)</f>
        <v>-0.3138426286109714</v>
      </c>
      <c r="H96">
        <f>LN('SDs by Year For Deciles'!H96)</f>
        <v>-0.19576673953384177</v>
      </c>
      <c r="I96">
        <f>LN('SDs by Year For Deciles'!I96)</f>
        <v>-0.12036248457617367</v>
      </c>
      <c r="J96">
        <f>LN('SDs by Year For Deciles'!J96)</f>
        <v>0.10485538810238076</v>
      </c>
      <c r="K96">
        <f>LN('SDs by Year For Deciles'!K96)</f>
        <v>0.20030881180834159</v>
      </c>
    </row>
    <row r="97" spans="1:11" x14ac:dyDescent="0.3">
      <c r="A97">
        <f>'SDs by Year For Deciles'!A97</f>
        <v>2020</v>
      </c>
      <c r="B97">
        <f>LN('SDs by Year For Deciles'!B97)</f>
        <v>0.74676851296286928</v>
      </c>
      <c r="C97">
        <f>LN('SDs by Year For Deciles'!C97)</f>
        <v>0.67848521737929846</v>
      </c>
      <c r="D97">
        <f>LN('SDs by Year For Deciles'!D97)</f>
        <v>0.67680436121977183</v>
      </c>
      <c r="E97">
        <f>LN('SDs by Year For Deciles'!E97)</f>
        <v>0.80446491669189824</v>
      </c>
      <c r="F97">
        <f>LN('SDs by Year For Deciles'!F97)</f>
        <v>0.8459541008037037</v>
      </c>
      <c r="G97">
        <f>LN('SDs by Year For Deciles'!G97)</f>
        <v>0.82411403757230495</v>
      </c>
      <c r="H97">
        <f>LN('SDs by Year For Deciles'!H97)</f>
        <v>0.92601925595180101</v>
      </c>
      <c r="I97">
        <f>LN('SDs by Year For Deciles'!I97)</f>
        <v>0.96339948326104885</v>
      </c>
      <c r="J97">
        <f>LN('SDs by Year For Deciles'!J97)</f>
        <v>1.0508426036326837</v>
      </c>
      <c r="K97">
        <f>LN('SDs by Year For Deciles'!K97)</f>
        <v>1.0982955718519667</v>
      </c>
    </row>
    <row r="98" spans="1:11" x14ac:dyDescent="0.3">
      <c r="A98">
        <f>'SDs by Year For Deciles'!A98</f>
        <v>2021</v>
      </c>
      <c r="B98">
        <f>LN('SDs by Year For Deciles'!B98)</f>
        <v>0.10613321704720032</v>
      </c>
      <c r="C98">
        <f>LN('SDs by Year For Deciles'!C98)</f>
        <v>-0.1522448304458312</v>
      </c>
      <c r="D98">
        <f>LN('SDs by Year For Deciles'!D98)</f>
        <v>-0.13233325353705008</v>
      </c>
      <c r="E98">
        <f>LN('SDs by Year For Deciles'!E98)</f>
        <v>-0.18582368208212638</v>
      </c>
      <c r="F98">
        <f>LN('SDs by Year For Deciles'!F98)</f>
        <v>-9.1749127882761239E-2</v>
      </c>
      <c r="G98">
        <f>LN('SDs by Year For Deciles'!G98)</f>
        <v>3.224451287822247E-2</v>
      </c>
      <c r="H98">
        <f>LN('SDs by Year For Deciles'!H98)</f>
        <v>4.54990400712183E-2</v>
      </c>
      <c r="I98">
        <f>LN('SDs by Year For Deciles'!I98)</f>
        <v>0.12936020530570697</v>
      </c>
      <c r="J98">
        <f>LN('SDs by Year For Deciles'!J98)</f>
        <v>0.35150862144732625</v>
      </c>
      <c r="K98">
        <f>LN('SDs by Year For Deciles'!K98)</f>
        <v>0.42460738670317039</v>
      </c>
    </row>
    <row r="99" spans="1:11" x14ac:dyDescent="0.3">
      <c r="A99">
        <f>'SDs by Year For Deciles'!A99</f>
        <v>2022</v>
      </c>
      <c r="B99">
        <f>LN('SDs by Year For Deciles'!B99)</f>
        <v>0.70636938072906674</v>
      </c>
      <c r="C99">
        <f>LN('SDs by Year For Deciles'!C99)</f>
        <v>0.45889844430521437</v>
      </c>
      <c r="D99">
        <f>LN('SDs by Year For Deciles'!D99)</f>
        <v>0.4142464391155033</v>
      </c>
      <c r="E99">
        <f>LN('SDs by Year For Deciles'!E99)</f>
        <v>0.26615706270618728</v>
      </c>
      <c r="F99">
        <f>LN('SDs by Year For Deciles'!F99)</f>
        <v>0.30737439954747015</v>
      </c>
      <c r="G99">
        <f>LN('SDs by Year For Deciles'!G99)</f>
        <v>0.31854827210394027</v>
      </c>
      <c r="H99">
        <f>LN('SDs by Year For Deciles'!H99)</f>
        <v>0.30315918169808281</v>
      </c>
      <c r="I99">
        <f>LN('SDs by Year For Deciles'!I99)</f>
        <v>0.33955319986167043</v>
      </c>
      <c r="J99">
        <f>LN('SDs by Year For Deciles'!J99)</f>
        <v>0.38381237041271171</v>
      </c>
      <c r="K99">
        <f>LN('SDs by Year For Deciles'!K99)</f>
        <v>0.49707146753332759</v>
      </c>
    </row>
    <row r="100" spans="1:11" x14ac:dyDescent="0.3">
      <c r="A100">
        <f>'SDs by Year For Deciles'!A100</f>
        <v>2023</v>
      </c>
      <c r="B100">
        <f>LN('SDs by Year For Deciles'!B100)</f>
        <v>4.652092472538872E-2</v>
      </c>
      <c r="C100">
        <f>LN('SDs by Year For Deciles'!C100)</f>
        <v>-8.0128211328869797E-2</v>
      </c>
      <c r="D100">
        <f>LN('SDs by Year For Deciles'!D100)</f>
        <v>-0.10910083527354957</v>
      </c>
      <c r="E100">
        <f>LN('SDs by Year For Deciles'!E100)</f>
        <v>-0.14648000812991274</v>
      </c>
      <c r="F100">
        <f>LN('SDs by Year For Deciles'!F100)</f>
        <v>-0.11196225929238871</v>
      </c>
      <c r="G100">
        <f>LN('SDs by Year For Deciles'!G100)</f>
        <v>-9.4500807434526948E-2</v>
      </c>
      <c r="H100">
        <f>LN('SDs by Year For Deciles'!H100)</f>
        <v>-0.12041775347913958</v>
      </c>
      <c r="I100">
        <f>LN('SDs by Year For Deciles'!I100)</f>
        <v>0.13604198843977344</v>
      </c>
      <c r="J100">
        <f>LN('SDs by Year For Deciles'!J100)</f>
        <v>0.17448257879917664</v>
      </c>
      <c r="K100">
        <f>LN('SDs by Year For Deciles'!K100)</f>
        <v>0.32987912115156931</v>
      </c>
    </row>
    <row r="101" spans="1:11" x14ac:dyDescent="0.3">
      <c r="A101">
        <f>'SDs by Year For Deciles'!A101</f>
        <v>2024</v>
      </c>
      <c r="B101">
        <f>LN('SDs by Year For Deciles'!B101)</f>
        <v>9.3982025470431288E-2</v>
      </c>
      <c r="C101">
        <f>LN('SDs by Year For Deciles'!C101)</f>
        <v>-0.18012716623101893</v>
      </c>
      <c r="D101">
        <f>LN('SDs by Year For Deciles'!D101)</f>
        <v>-5.2515093111301051E-2</v>
      </c>
      <c r="E101">
        <f>LN('SDs by Year For Deciles'!E101)</f>
        <v>-0.20325269261641696</v>
      </c>
      <c r="F101">
        <f>LN('SDs by Year For Deciles'!F101)</f>
        <v>-0.11847277347083017</v>
      </c>
      <c r="G101">
        <f>LN('SDs by Year For Deciles'!G101)</f>
        <v>-0.18907068098107432</v>
      </c>
      <c r="H101">
        <f>LN('SDs by Year For Deciles'!H101)</f>
        <v>-0.15994811921706237</v>
      </c>
      <c r="I101">
        <f>LN('SDs by Year For Deciles'!I101)</f>
        <v>6.637920180183437E-3</v>
      </c>
      <c r="J101">
        <f>LN('SDs by Year For Deciles'!J101)</f>
        <v>0.14926447603852158</v>
      </c>
      <c r="K101">
        <f>LN('SDs by Year For Deciles'!K101)</f>
        <v>0.21845256582608627</v>
      </c>
    </row>
    <row r="102" spans="1:11" x14ac:dyDescent="0.3">
      <c r="A102">
        <f>'SDs by Year For Deciles'!A102</f>
        <v>2025</v>
      </c>
      <c r="B102">
        <f>LN('SDs by Year For Deciles'!B102)</f>
        <v>0.39954763434412677</v>
      </c>
      <c r="C102">
        <f>LN('SDs by Year For Deciles'!C102)</f>
        <v>0.22719931557204007</v>
      </c>
      <c r="D102">
        <f>LN('SDs by Year For Deciles'!D102)</f>
        <v>0.24219295383134501</v>
      </c>
      <c r="E102">
        <f>LN('SDs by Year For Deciles'!E102)</f>
        <v>0.15903587068486968</v>
      </c>
      <c r="F102">
        <f>LN('SDs by Year For Deciles'!F102)</f>
        <v>0.11121037183584638</v>
      </c>
      <c r="G102">
        <f>LN('SDs by Year For Deciles'!G102)</f>
        <v>0.10088551777385854</v>
      </c>
      <c r="H102">
        <f>LN('SDs by Year For Deciles'!H102)</f>
        <v>6.1875603718067523E-2</v>
      </c>
      <c r="I102">
        <f>LN('SDs by Year For Deciles'!I102)</f>
        <v>0.1809956782052822</v>
      </c>
      <c r="J102">
        <f>LN('SDs by Year For Deciles'!J102)</f>
        <v>0.31666303787486993</v>
      </c>
      <c r="K102">
        <f>LN('SDs by Year For Deciles'!K102)</f>
        <v>0.43553510652751681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B1B97-F3D4-4382-92D8-D5DC1605A4D3}">
  <dimension ref="B3:E102"/>
  <sheetViews>
    <sheetView workbookViewId="0">
      <selection activeCell="B4" sqref="B4"/>
    </sheetView>
  </sheetViews>
  <sheetFormatPr defaultRowHeight="14.4" x14ac:dyDescent="0.3"/>
  <cols>
    <col min="1" max="1" width="8.88671875" customWidth="1"/>
    <col min="2" max="2" width="16.44140625" customWidth="1"/>
    <col min="4" max="4" width="15" customWidth="1"/>
    <col min="5" max="5" width="17.6640625" customWidth="1"/>
  </cols>
  <sheetData>
    <row r="3" spans="2:5" x14ac:dyDescent="0.3">
      <c r="B3" t="s">
        <v>13</v>
      </c>
      <c r="C3" t="s">
        <v>14</v>
      </c>
      <c r="D3" t="s">
        <v>15</v>
      </c>
      <c r="E3" t="s">
        <v>16</v>
      </c>
    </row>
    <row r="4" spans="2:5" x14ac:dyDescent="0.3">
      <c r="B4">
        <f>lns!B41</f>
        <v>-0.93395075618434931</v>
      </c>
      <c r="C4">
        <v>1</v>
      </c>
      <c r="D4">
        <f>(C4-0.5)/99</f>
        <v>5.0505050505050509E-3</v>
      </c>
      <c r="E4">
        <f>NORMSINV(D4)</f>
        <v>-2.5723521109428895</v>
      </c>
    </row>
    <row r="5" spans="2:5" x14ac:dyDescent="0.3">
      <c r="B5">
        <f>lns!B21</f>
        <v>-0.83268974699976428</v>
      </c>
      <c r="C5">
        <v>2</v>
      </c>
      <c r="D5">
        <f>(C5-0.5)/99</f>
        <v>1.5151515151515152E-2</v>
      </c>
      <c r="E5">
        <f>NORMSINV(D5)</f>
        <v>-2.1661067528923286</v>
      </c>
    </row>
    <row r="6" spans="2:5" x14ac:dyDescent="0.3">
      <c r="B6">
        <f>lns!B94</f>
        <v>-0.81990612946856478</v>
      </c>
      <c r="C6">
        <v>3</v>
      </c>
      <c r="D6">
        <f t="shared" ref="D6:D69" si="0">(C6-0.5)/99</f>
        <v>2.5252525252525252E-2</v>
      </c>
      <c r="E6">
        <f t="shared" ref="E6:E69" si="1">NORMSINV(D6)</f>
        <v>-1.9556614355881679</v>
      </c>
    </row>
    <row r="7" spans="2:5" x14ac:dyDescent="0.3">
      <c r="B7">
        <f>lns!B29</f>
        <v>-0.79023974787356122</v>
      </c>
      <c r="C7">
        <v>4</v>
      </c>
      <c r="D7">
        <f t="shared" si="0"/>
        <v>3.5353535353535352E-2</v>
      </c>
      <c r="E7">
        <f t="shared" si="1"/>
        <v>-1.807354196799112</v>
      </c>
    </row>
    <row r="8" spans="2:5" x14ac:dyDescent="0.3">
      <c r="B8">
        <f>lns!B42</f>
        <v>-0.65638718479759495</v>
      </c>
      <c r="C8">
        <v>5</v>
      </c>
      <c r="D8">
        <f t="shared" si="0"/>
        <v>4.5454545454545456E-2</v>
      </c>
      <c r="E8">
        <f t="shared" si="1"/>
        <v>-1.6906216295848977</v>
      </c>
    </row>
    <row r="9" spans="2:5" x14ac:dyDescent="0.3">
      <c r="B9">
        <f>lns!B20</f>
        <v>-0.62176277108105626</v>
      </c>
      <c r="C9">
        <v>6</v>
      </c>
      <c r="D9">
        <f t="shared" si="0"/>
        <v>5.5555555555555552E-2</v>
      </c>
      <c r="E9">
        <f t="shared" si="1"/>
        <v>-1.5932188180230502</v>
      </c>
    </row>
    <row r="10" spans="2:5" x14ac:dyDescent="0.3">
      <c r="B10">
        <f>lns!B26</f>
        <v>-0.58976421897386588</v>
      </c>
      <c r="C10">
        <v>7</v>
      </c>
      <c r="D10">
        <f t="shared" si="0"/>
        <v>6.5656565656565663E-2</v>
      </c>
      <c r="E10">
        <f t="shared" si="1"/>
        <v>-1.5089438550380374</v>
      </c>
    </row>
    <row r="11" spans="2:5" x14ac:dyDescent="0.3">
      <c r="B11">
        <f>lns!B38</f>
        <v>-0.56563562082591567</v>
      </c>
      <c r="C11">
        <v>8</v>
      </c>
      <c r="D11">
        <f t="shared" si="0"/>
        <v>7.575757575757576E-2</v>
      </c>
      <c r="E11">
        <f t="shared" si="1"/>
        <v>-1.4342001596863787</v>
      </c>
    </row>
    <row r="12" spans="2:5" x14ac:dyDescent="0.3">
      <c r="B12">
        <f>lns!B28</f>
        <v>-0.56291572674928114</v>
      </c>
      <c r="C12">
        <v>9</v>
      </c>
      <c r="D12">
        <f t="shared" si="0"/>
        <v>8.5858585858585856E-2</v>
      </c>
      <c r="E12">
        <f t="shared" si="1"/>
        <v>-1.3667069718079636</v>
      </c>
    </row>
    <row r="13" spans="2:5" x14ac:dyDescent="0.3">
      <c r="B13">
        <f>lns!B30</f>
        <v>-0.53616736366057804</v>
      </c>
      <c r="C13">
        <v>10</v>
      </c>
      <c r="D13">
        <f t="shared" si="0"/>
        <v>9.5959595959595953E-2</v>
      </c>
      <c r="E13">
        <f t="shared" si="1"/>
        <v>-1.304922637752725</v>
      </c>
    </row>
    <row r="14" spans="2:5" x14ac:dyDescent="0.3">
      <c r="B14">
        <f>lns!B72</f>
        <v>-0.52970947326778262</v>
      </c>
      <c r="C14">
        <v>11</v>
      </c>
      <c r="D14">
        <f t="shared" si="0"/>
        <v>0.10606060606060606</v>
      </c>
      <c r="E14">
        <f t="shared" si="1"/>
        <v>-1.2477538553513243</v>
      </c>
    </row>
    <row r="15" spans="2:5" x14ac:dyDescent="0.3">
      <c r="B15">
        <f>lns!B40</f>
        <v>-0.52572270296225043</v>
      </c>
      <c r="C15">
        <v>12</v>
      </c>
      <c r="D15">
        <f t="shared" si="0"/>
        <v>0.11616161616161616</v>
      </c>
      <c r="E15">
        <f t="shared" si="1"/>
        <v>-1.1943956635681565</v>
      </c>
    </row>
    <row r="16" spans="2:5" x14ac:dyDescent="0.3">
      <c r="B16">
        <f>lns!B22</f>
        <v>-0.50447251423832618</v>
      </c>
      <c r="C16">
        <v>13</v>
      </c>
      <c r="D16">
        <f t="shared" si="0"/>
        <v>0.12626262626262627</v>
      </c>
      <c r="E16">
        <f t="shared" si="1"/>
        <v>-1.1442372651002066</v>
      </c>
    </row>
    <row r="17" spans="2:5" x14ac:dyDescent="0.3">
      <c r="B17">
        <f>lns!B31</f>
        <v>-0.50029460345977395</v>
      </c>
      <c r="C17">
        <v>14</v>
      </c>
      <c r="D17">
        <f t="shared" si="0"/>
        <v>0.13636363636363635</v>
      </c>
      <c r="E17">
        <f t="shared" si="1"/>
        <v>-1.096803562093513</v>
      </c>
    </row>
    <row r="18" spans="2:5" x14ac:dyDescent="0.3">
      <c r="B18">
        <f>lns!B35</f>
        <v>-0.49097887979590693</v>
      </c>
      <c r="C18">
        <v>15</v>
      </c>
      <c r="D18">
        <f t="shared" si="0"/>
        <v>0.14646464646464646</v>
      </c>
      <c r="E18">
        <f t="shared" si="1"/>
        <v>-1.0517172529984806</v>
      </c>
    </row>
    <row r="19" spans="2:5" x14ac:dyDescent="0.3">
      <c r="B19">
        <f>lns!B82</f>
        <v>-0.47136936143351865</v>
      </c>
      <c r="C19">
        <v>16</v>
      </c>
      <c r="D19">
        <f t="shared" si="0"/>
        <v>0.15656565656565657</v>
      </c>
      <c r="E19">
        <f t="shared" si="1"/>
        <v>-1.0086733576467986</v>
      </c>
    </row>
    <row r="20" spans="2:5" x14ac:dyDescent="0.3">
      <c r="B20">
        <f>lns!B49</f>
        <v>-0.44696545765917634</v>
      </c>
      <c r="C20">
        <v>17</v>
      </c>
      <c r="D20">
        <f t="shared" si="0"/>
        <v>0.16666666666666666</v>
      </c>
      <c r="E20">
        <f t="shared" si="1"/>
        <v>-0.96742156610170071</v>
      </c>
    </row>
    <row r="21" spans="2:5" x14ac:dyDescent="0.3">
      <c r="B21">
        <f>lns!B36</f>
        <v>-0.39252864612634225</v>
      </c>
      <c r="C21">
        <v>18</v>
      </c>
      <c r="D21">
        <f t="shared" si="0"/>
        <v>0.17676767676767677</v>
      </c>
      <c r="E21">
        <f t="shared" si="1"/>
        <v>-0.92775368535742475</v>
      </c>
    </row>
    <row r="22" spans="2:5" x14ac:dyDescent="0.3">
      <c r="B22">
        <f>lns!B54</f>
        <v>-0.38846050929234055</v>
      </c>
      <c r="C22">
        <v>19</v>
      </c>
      <c r="D22">
        <f t="shared" si="0"/>
        <v>0.18686868686868688</v>
      </c>
      <c r="E22">
        <f t="shared" si="1"/>
        <v>-0.88949450753063364</v>
      </c>
    </row>
    <row r="23" spans="2:5" x14ac:dyDescent="0.3">
      <c r="B23">
        <f>lns!B83</f>
        <v>-0.38266257327286107</v>
      </c>
      <c r="C23">
        <v>20</v>
      </c>
      <c r="D23">
        <f t="shared" si="0"/>
        <v>0.19696969696969696</v>
      </c>
      <c r="E23">
        <f t="shared" si="1"/>
        <v>-0.85249503427469364</v>
      </c>
    </row>
    <row r="24" spans="2:5" x14ac:dyDescent="0.3">
      <c r="B24">
        <f>lns!B24</f>
        <v>-0.36308832290161042</v>
      </c>
      <c r="C24">
        <v>21</v>
      </c>
      <c r="D24">
        <f t="shared" si="0"/>
        <v>0.20707070707070707</v>
      </c>
      <c r="E24">
        <f t="shared" si="1"/>
        <v>-0.81662736084860543</v>
      </c>
    </row>
    <row r="25" spans="2:5" x14ac:dyDescent="0.3">
      <c r="B25">
        <f>lns!B44</f>
        <v>-0.36291580624254272</v>
      </c>
      <c r="C25">
        <v>22</v>
      </c>
      <c r="D25">
        <f t="shared" si="0"/>
        <v>0.21717171717171718</v>
      </c>
      <c r="E25">
        <f t="shared" si="1"/>
        <v>-0.78178075276507197</v>
      </c>
    </row>
    <row r="26" spans="2:5" x14ac:dyDescent="0.3">
      <c r="B26">
        <f>lns!B71</f>
        <v>-0.34896190887443218</v>
      </c>
      <c r="C26">
        <v>23</v>
      </c>
      <c r="D26">
        <f t="shared" si="0"/>
        <v>0.22727272727272727</v>
      </c>
      <c r="E26">
        <f t="shared" si="1"/>
        <v>-0.74785859476330196</v>
      </c>
    </row>
    <row r="27" spans="2:5" x14ac:dyDescent="0.3">
      <c r="B27">
        <f>lns!B81</f>
        <v>-0.34795025779924194</v>
      </c>
      <c r="C27">
        <v>24</v>
      </c>
      <c r="D27">
        <f t="shared" si="0"/>
        <v>0.23737373737373738</v>
      </c>
      <c r="E27">
        <f t="shared" si="1"/>
        <v>-0.71477598810315091</v>
      </c>
    </row>
    <row r="28" spans="2:5" x14ac:dyDescent="0.3">
      <c r="B28">
        <f>lns!B4</f>
        <v>-0.34741226105955086</v>
      </c>
      <c r="C28">
        <v>25</v>
      </c>
      <c r="D28">
        <f t="shared" si="0"/>
        <v>0.24747474747474749</v>
      </c>
      <c r="E28">
        <f t="shared" si="1"/>
        <v>-0.68245783666933024</v>
      </c>
    </row>
    <row r="29" spans="2:5" x14ac:dyDescent="0.3">
      <c r="B29">
        <f>lns!B19</f>
        <v>-0.34436953838157791</v>
      </c>
      <c r="C29">
        <v>26</v>
      </c>
      <c r="D29">
        <f t="shared" si="0"/>
        <v>0.25757575757575757</v>
      </c>
      <c r="E29">
        <f t="shared" si="1"/>
        <v>-0.65083730644447746</v>
      </c>
    </row>
    <row r="30" spans="2:5" x14ac:dyDescent="0.3">
      <c r="B30">
        <f>lns!B18</f>
        <v>-0.33059374883711867</v>
      </c>
      <c r="C30">
        <v>27</v>
      </c>
      <c r="D30">
        <f t="shared" si="0"/>
        <v>0.26767676767676768</v>
      </c>
      <c r="E30">
        <f t="shared" si="1"/>
        <v>-0.61985457356549389</v>
      </c>
    </row>
    <row r="31" spans="2:5" x14ac:dyDescent="0.3">
      <c r="B31">
        <f>lns!B90</f>
        <v>-0.3214360488103386</v>
      </c>
      <c r="C31">
        <v>28</v>
      </c>
      <c r="D31">
        <f t="shared" si="0"/>
        <v>0.27777777777777779</v>
      </c>
      <c r="E31">
        <f t="shared" si="1"/>
        <v>-0.58945579784977842</v>
      </c>
    </row>
    <row r="32" spans="2:5" x14ac:dyDescent="0.3">
      <c r="B32">
        <f>lns!B25</f>
        <v>-0.32124575017881118</v>
      </c>
      <c r="C32">
        <v>29</v>
      </c>
      <c r="D32">
        <f t="shared" si="0"/>
        <v>0.2878787878787879</v>
      </c>
      <c r="E32">
        <f t="shared" si="1"/>
        <v>-0.5595922742274323</v>
      </c>
    </row>
    <row r="33" spans="2:5" x14ac:dyDescent="0.3">
      <c r="B33">
        <f>lns!B48</f>
        <v>-0.29266379397975617</v>
      </c>
      <c r="C33">
        <v>30</v>
      </c>
      <c r="D33">
        <f t="shared" si="0"/>
        <v>0.29797979797979796</v>
      </c>
      <c r="E33">
        <f t="shared" si="1"/>
        <v>-0.53021972582422794</v>
      </c>
    </row>
    <row r="34" spans="2:5" x14ac:dyDescent="0.3">
      <c r="B34">
        <f>lns!B33</f>
        <v>-0.2796080882953364</v>
      </c>
      <c r="C34">
        <v>31</v>
      </c>
      <c r="D34">
        <f t="shared" si="0"/>
        <v>0.30808080808080807</v>
      </c>
      <c r="E34">
        <f t="shared" si="1"/>
        <v>-0.50129771076772867</v>
      </c>
    </row>
    <row r="35" spans="2:5" x14ac:dyDescent="0.3">
      <c r="B35">
        <f>lns!B56</f>
        <v>-0.27787828698932948</v>
      </c>
      <c r="C35">
        <v>32</v>
      </c>
      <c r="D35">
        <f t="shared" si="0"/>
        <v>0.31818181818181818</v>
      </c>
      <c r="E35">
        <f t="shared" si="1"/>
        <v>-0.47278912099226744</v>
      </c>
    </row>
    <row r="36" spans="2:5" x14ac:dyDescent="0.3">
      <c r="B36">
        <f>lns!B62</f>
        <v>-0.27119736165867575</v>
      </c>
      <c r="C36">
        <v>33</v>
      </c>
      <c r="D36">
        <f t="shared" si="0"/>
        <v>0.32828282828282829</v>
      </c>
      <c r="E36">
        <f t="shared" si="1"/>
        <v>-0.4446597559886718</v>
      </c>
    </row>
    <row r="37" spans="2:5" x14ac:dyDescent="0.3">
      <c r="B37">
        <f>lns!B53</f>
        <v>-0.26510030401239504</v>
      </c>
      <c r="C37">
        <v>34</v>
      </c>
      <c r="D37">
        <f t="shared" si="0"/>
        <v>0.3383838383838384</v>
      </c>
      <c r="E37">
        <f t="shared" si="1"/>
        <v>-0.41687795799540722</v>
      </c>
    </row>
    <row r="38" spans="2:5" x14ac:dyDescent="0.3">
      <c r="B38">
        <f>lns!B37</f>
        <v>-0.25273586661731062</v>
      </c>
      <c r="C38">
        <v>35</v>
      </c>
      <c r="D38">
        <f t="shared" si="0"/>
        <v>0.34848484848484851</v>
      </c>
      <c r="E38">
        <f t="shared" si="1"/>
        <v>-0.38941429785214438</v>
      </c>
    </row>
    <row r="39" spans="2:5" x14ac:dyDescent="0.3">
      <c r="B39">
        <f>lns!B70</f>
        <v>-0.22194302223770915</v>
      </c>
      <c r="C39">
        <v>36</v>
      </c>
      <c r="D39">
        <f t="shared" si="0"/>
        <v>0.35858585858585856</v>
      </c>
      <c r="E39">
        <f t="shared" si="1"/>
        <v>-0.3622413028447366</v>
      </c>
    </row>
    <row r="40" spans="2:5" x14ac:dyDescent="0.3">
      <c r="B40">
        <f>lns!B69</f>
        <v>-0.21921129278660473</v>
      </c>
      <c r="C40">
        <v>37</v>
      </c>
      <c r="D40">
        <f t="shared" si="0"/>
        <v>0.36868686868686867</v>
      </c>
      <c r="E40">
        <f t="shared" si="1"/>
        <v>-0.33533321951439826</v>
      </c>
    </row>
    <row r="41" spans="2:5" x14ac:dyDescent="0.3">
      <c r="B41">
        <f>lns!B46</f>
        <v>-0.21276880558728198</v>
      </c>
      <c r="C41">
        <v>38</v>
      </c>
      <c r="D41">
        <f t="shared" si="0"/>
        <v>0.37878787878787878</v>
      </c>
      <c r="E41">
        <f t="shared" si="1"/>
        <v>-0.30866580569493407</v>
      </c>
    </row>
    <row r="42" spans="2:5" x14ac:dyDescent="0.3">
      <c r="B42">
        <f>lns!B27</f>
        <v>-0.20667244777780561</v>
      </c>
      <c r="C42">
        <v>39</v>
      </c>
      <c r="D42">
        <f t="shared" si="0"/>
        <v>0.3888888888888889</v>
      </c>
      <c r="E42">
        <f t="shared" si="1"/>
        <v>-0.28221614706250814</v>
      </c>
    </row>
    <row r="43" spans="2:5" x14ac:dyDescent="0.3">
      <c r="B43">
        <f>lns!B13</f>
        <v>-0.20076336642263864</v>
      </c>
      <c r="C43">
        <v>40</v>
      </c>
      <c r="D43">
        <f t="shared" si="0"/>
        <v>0.39898989898989901</v>
      </c>
      <c r="E43">
        <f t="shared" si="1"/>
        <v>-0.25596249429406465</v>
      </c>
    </row>
    <row r="44" spans="2:5" x14ac:dyDescent="0.3">
      <c r="B44">
        <f>lns!B66</f>
        <v>-0.19370975688581646</v>
      </c>
      <c r="C44">
        <v>41</v>
      </c>
      <c r="D44">
        <f t="shared" si="0"/>
        <v>0.40909090909090912</v>
      </c>
      <c r="E44">
        <f t="shared" si="1"/>
        <v>-0.22988411757923208</v>
      </c>
    </row>
    <row r="45" spans="2:5" x14ac:dyDescent="0.3">
      <c r="B45">
        <f>lns!B93</f>
        <v>-0.17967346608311599</v>
      </c>
      <c r="C45">
        <v>42</v>
      </c>
      <c r="D45">
        <f t="shared" si="0"/>
        <v>0.41919191919191917</v>
      </c>
      <c r="E45">
        <f t="shared" si="1"/>
        <v>-0.20396117575131437</v>
      </c>
    </row>
    <row r="46" spans="2:5" x14ac:dyDescent="0.3">
      <c r="B46">
        <f>lns!B12</f>
        <v>-0.16662853885699141</v>
      </c>
      <c r="C46">
        <v>43</v>
      </c>
      <c r="D46">
        <f t="shared" si="0"/>
        <v>0.42929292929292928</v>
      </c>
      <c r="E46">
        <f t="shared" si="1"/>
        <v>-0.17817459772241043</v>
      </c>
    </row>
    <row r="47" spans="2:5" x14ac:dyDescent="0.3">
      <c r="B47">
        <f>lns!B73</f>
        <v>-0.15638717892794601</v>
      </c>
      <c r="C47">
        <v>44</v>
      </c>
      <c r="D47">
        <f t="shared" si="0"/>
        <v>0.43939393939393939</v>
      </c>
      <c r="E47">
        <f t="shared" si="1"/>
        <v>-0.15250597424624437</v>
      </c>
    </row>
    <row r="48" spans="2:5" x14ac:dyDescent="0.3">
      <c r="B48">
        <f>lns!B45</f>
        <v>-0.15229490284704039</v>
      </c>
      <c r="C48">
        <v>45</v>
      </c>
      <c r="D48">
        <f t="shared" si="0"/>
        <v>0.4494949494949495</v>
      </c>
      <c r="E48">
        <f t="shared" si="1"/>
        <v>-0.12693745830564304</v>
      </c>
    </row>
    <row r="49" spans="2:5" x14ac:dyDescent="0.3">
      <c r="B49">
        <f>lns!B89</f>
        <v>-0.12807999282751312</v>
      </c>
      <c r="C49">
        <v>46</v>
      </c>
      <c r="D49">
        <f t="shared" si="0"/>
        <v>0.45959595959595961</v>
      </c>
      <c r="E49">
        <f t="shared" si="1"/>
        <v>-0.1014516726419474</v>
      </c>
    </row>
    <row r="50" spans="2:5" x14ac:dyDescent="0.3">
      <c r="B50">
        <f>lns!B91</f>
        <v>-0.11406607711352797</v>
      </c>
      <c r="C50">
        <v>47</v>
      </c>
      <c r="D50">
        <f t="shared" si="0"/>
        <v>0.46969696969696972</v>
      </c>
      <c r="E50">
        <f t="shared" si="1"/>
        <v>-7.60316231203884E-2</v>
      </c>
    </row>
    <row r="51" spans="2:5" x14ac:dyDescent="0.3">
      <c r="B51">
        <f>lns!B34</f>
        <v>-0.10296560796222036</v>
      </c>
      <c r="C51">
        <v>48</v>
      </c>
      <c r="D51">
        <f t="shared" si="0"/>
        <v>0.47979797979797978</v>
      </c>
      <c r="E51">
        <f t="shared" si="1"/>
        <v>-5.0660616765876576E-2</v>
      </c>
    </row>
    <row r="52" spans="2:5" x14ac:dyDescent="0.3">
      <c r="B52">
        <f>lns!B60</f>
        <v>-0.10137402782546633</v>
      </c>
      <c r="C52">
        <v>49</v>
      </c>
      <c r="D52">
        <f t="shared" si="0"/>
        <v>0.48989898989898989</v>
      </c>
      <c r="E52">
        <f t="shared" si="1"/>
        <v>-2.5322183413346296E-2</v>
      </c>
    </row>
    <row r="53" spans="2:5" x14ac:dyDescent="0.3">
      <c r="B53">
        <f>lns!B43</f>
        <v>-9.1786395630708395E-2</v>
      </c>
      <c r="C53">
        <v>50</v>
      </c>
      <c r="D53">
        <f t="shared" si="0"/>
        <v>0.5</v>
      </c>
      <c r="E53">
        <f t="shared" si="1"/>
        <v>0</v>
      </c>
    </row>
    <row r="54" spans="2:5" x14ac:dyDescent="0.3">
      <c r="B54">
        <f>lns!B32</f>
        <v>-9.1726110261675153E-2</v>
      </c>
      <c r="C54">
        <v>51</v>
      </c>
      <c r="D54">
        <f t="shared" si="0"/>
        <v>0.51010101010101006</v>
      </c>
      <c r="E54">
        <f t="shared" si="1"/>
        <v>2.5322183413346164E-2</v>
      </c>
    </row>
    <row r="55" spans="2:5" x14ac:dyDescent="0.3">
      <c r="B55">
        <f>lns!B96</f>
        <v>-6.0215080689851493E-2</v>
      </c>
      <c r="C55">
        <v>52</v>
      </c>
      <c r="D55">
        <f t="shared" si="0"/>
        <v>0.52020202020202022</v>
      </c>
      <c r="E55">
        <f t="shared" si="1"/>
        <v>5.0660616765876576E-2</v>
      </c>
    </row>
    <row r="56" spans="2:5" x14ac:dyDescent="0.3">
      <c r="B56">
        <f>lns!B55</f>
        <v>-4.5723570976395428E-2</v>
      </c>
      <c r="C56">
        <v>53</v>
      </c>
      <c r="D56">
        <f t="shared" si="0"/>
        <v>0.53030303030303028</v>
      </c>
      <c r="E56">
        <f t="shared" si="1"/>
        <v>7.60316231203884E-2</v>
      </c>
    </row>
    <row r="57" spans="2:5" x14ac:dyDescent="0.3">
      <c r="B57">
        <f>lns!B17</f>
        <v>-4.2323120646522307E-2</v>
      </c>
      <c r="C57">
        <v>54</v>
      </c>
      <c r="D57">
        <f t="shared" si="0"/>
        <v>0.54040404040404044</v>
      </c>
      <c r="E57">
        <f t="shared" si="1"/>
        <v>0.10145167264194754</v>
      </c>
    </row>
    <row r="58" spans="2:5" x14ac:dyDescent="0.3">
      <c r="B58">
        <f>lns!B63</f>
        <v>-2.1919486261983281E-2</v>
      </c>
      <c r="C58">
        <v>55</v>
      </c>
      <c r="D58">
        <f t="shared" si="0"/>
        <v>0.5505050505050505</v>
      </c>
      <c r="E58">
        <f t="shared" si="1"/>
        <v>0.12693745830564304</v>
      </c>
    </row>
    <row r="59" spans="2:5" x14ac:dyDescent="0.3">
      <c r="B59">
        <f>lns!B84</f>
        <v>-1.5836741826346576E-2</v>
      </c>
      <c r="C59">
        <v>56</v>
      </c>
      <c r="D59">
        <f t="shared" si="0"/>
        <v>0.56060606060606055</v>
      </c>
      <c r="E59">
        <f t="shared" si="1"/>
        <v>0.15250597424624424</v>
      </c>
    </row>
    <row r="60" spans="2:5" x14ac:dyDescent="0.3">
      <c r="B60">
        <f>lns!B87</f>
        <v>-9.7938031042754062E-3</v>
      </c>
      <c r="C60">
        <v>57</v>
      </c>
      <c r="D60">
        <f t="shared" si="0"/>
        <v>0.57070707070707072</v>
      </c>
      <c r="E60">
        <f t="shared" si="1"/>
        <v>0.17817459772241043</v>
      </c>
    </row>
    <row r="61" spans="2:5" x14ac:dyDescent="0.3">
      <c r="B61">
        <f>lns!B65</f>
        <v>-7.6975502699044521E-3</v>
      </c>
      <c r="C61">
        <v>58</v>
      </c>
      <c r="D61">
        <f t="shared" si="0"/>
        <v>0.58080808080808077</v>
      </c>
      <c r="E61">
        <f t="shared" si="1"/>
        <v>0.2039611757513142</v>
      </c>
    </row>
    <row r="62" spans="2:5" x14ac:dyDescent="0.3">
      <c r="B62">
        <f>lns!B68</f>
        <v>-1.2067278032126692E-3</v>
      </c>
      <c r="C62">
        <v>59</v>
      </c>
      <c r="D62">
        <f t="shared" si="0"/>
        <v>0.59090909090909094</v>
      </c>
      <c r="E62">
        <f t="shared" si="1"/>
        <v>0.22988411757923222</v>
      </c>
    </row>
    <row r="63" spans="2:5" x14ac:dyDescent="0.3">
      <c r="B63">
        <f>lns!B61</f>
        <v>2.8359748192080081E-3</v>
      </c>
      <c r="C63">
        <v>60</v>
      </c>
      <c r="D63">
        <f t="shared" si="0"/>
        <v>0.60101010101010099</v>
      </c>
      <c r="E63">
        <f t="shared" si="1"/>
        <v>0.25596249429406465</v>
      </c>
    </row>
    <row r="64" spans="2:5" x14ac:dyDescent="0.3">
      <c r="B64">
        <f>lns!B16</f>
        <v>1.2373136063141376E-2</v>
      </c>
      <c r="C64">
        <v>61</v>
      </c>
      <c r="D64">
        <f t="shared" si="0"/>
        <v>0.61111111111111116</v>
      </c>
      <c r="E64">
        <f t="shared" si="1"/>
        <v>0.28221614706250825</v>
      </c>
    </row>
    <row r="65" spans="2:5" x14ac:dyDescent="0.3">
      <c r="B65">
        <f>lns!B92</f>
        <v>2.723571761924265E-2</v>
      </c>
      <c r="C65">
        <v>62</v>
      </c>
      <c r="D65">
        <f t="shared" si="0"/>
        <v>0.62121212121212122</v>
      </c>
      <c r="E65">
        <f t="shared" si="1"/>
        <v>0.30866580569493407</v>
      </c>
    </row>
    <row r="66" spans="2:5" x14ac:dyDescent="0.3">
      <c r="B66">
        <f>lns!B80</f>
        <v>2.852914611397361E-2</v>
      </c>
      <c r="C66">
        <v>63</v>
      </c>
      <c r="D66">
        <f t="shared" si="0"/>
        <v>0.63131313131313127</v>
      </c>
      <c r="E66">
        <f t="shared" si="1"/>
        <v>0.3353332195143981</v>
      </c>
    </row>
    <row r="67" spans="2:5" x14ac:dyDescent="0.3">
      <c r="B67">
        <f>lns!B100</f>
        <v>4.652092472538872E-2</v>
      </c>
      <c r="C67">
        <v>64</v>
      </c>
      <c r="D67">
        <f t="shared" si="0"/>
        <v>0.64141414141414144</v>
      </c>
      <c r="E67">
        <f t="shared" si="1"/>
        <v>0.3622413028447366</v>
      </c>
    </row>
    <row r="68" spans="2:5" x14ac:dyDescent="0.3">
      <c r="B68">
        <f>lns!B5</f>
        <v>5.0550518597901162E-2</v>
      </c>
      <c r="C68">
        <v>65</v>
      </c>
      <c r="D68">
        <f t="shared" si="0"/>
        <v>0.65151515151515149</v>
      </c>
      <c r="E68">
        <f t="shared" si="1"/>
        <v>0.38941429785214438</v>
      </c>
    </row>
    <row r="69" spans="2:5" x14ac:dyDescent="0.3">
      <c r="B69">
        <f>lns!B101</f>
        <v>9.3982025470431288E-2</v>
      </c>
      <c r="C69">
        <v>66</v>
      </c>
      <c r="D69">
        <f t="shared" si="0"/>
        <v>0.66161616161616166</v>
      </c>
      <c r="E69">
        <f t="shared" si="1"/>
        <v>0.41687795799540739</v>
      </c>
    </row>
    <row r="70" spans="2:5" x14ac:dyDescent="0.3">
      <c r="B70">
        <f>lns!B58</f>
        <v>9.6709200718032171E-2</v>
      </c>
      <c r="C70">
        <v>67</v>
      </c>
      <c r="D70">
        <f t="shared" ref="D70:D102" si="2">(C70-0.5)/99</f>
        <v>0.67171717171717171</v>
      </c>
      <c r="E70">
        <f t="shared" ref="E70:E102" si="3">NORMSINV(D70)</f>
        <v>0.4446597559886718</v>
      </c>
    </row>
    <row r="71" spans="2:5" x14ac:dyDescent="0.3">
      <c r="B71">
        <f>lns!B98</f>
        <v>0.10613321704720032</v>
      </c>
      <c r="C71">
        <v>68</v>
      </c>
      <c r="D71">
        <f t="shared" si="2"/>
        <v>0.68181818181818177</v>
      </c>
      <c r="E71">
        <f t="shared" si="3"/>
        <v>0.47278912099226728</v>
      </c>
    </row>
    <row r="72" spans="2:5" x14ac:dyDescent="0.3">
      <c r="B72">
        <f>lns!B57</f>
        <v>0.10931169944013847</v>
      </c>
      <c r="C72">
        <v>69</v>
      </c>
      <c r="D72">
        <f t="shared" si="2"/>
        <v>0.69191919191919193</v>
      </c>
      <c r="E72">
        <f t="shared" si="3"/>
        <v>0.50129771076772867</v>
      </c>
    </row>
    <row r="73" spans="2:5" x14ac:dyDescent="0.3">
      <c r="B73">
        <f>lns!B52</f>
        <v>0.14190746518110714</v>
      </c>
      <c r="C73">
        <v>70</v>
      </c>
      <c r="D73">
        <f t="shared" si="2"/>
        <v>0.70202020202020199</v>
      </c>
      <c r="E73">
        <f t="shared" si="3"/>
        <v>0.53021972582422772</v>
      </c>
    </row>
    <row r="74" spans="2:5" x14ac:dyDescent="0.3">
      <c r="B74">
        <f>lns!B50</f>
        <v>0.15647369382542439</v>
      </c>
      <c r="C74">
        <v>71</v>
      </c>
      <c r="D74">
        <f t="shared" si="2"/>
        <v>0.71212121212121215</v>
      </c>
      <c r="E74">
        <f t="shared" si="3"/>
        <v>0.55959227422743252</v>
      </c>
    </row>
    <row r="75" spans="2:5" x14ac:dyDescent="0.3">
      <c r="B75">
        <f>lns!B67</f>
        <v>0.17938391280661184</v>
      </c>
      <c r="C75">
        <v>72</v>
      </c>
      <c r="D75">
        <f t="shared" si="2"/>
        <v>0.72222222222222221</v>
      </c>
      <c r="E75">
        <f t="shared" si="3"/>
        <v>0.58945579784977842</v>
      </c>
    </row>
    <row r="76" spans="2:5" x14ac:dyDescent="0.3">
      <c r="B76">
        <f>lns!B23</f>
        <v>0.18421975407703489</v>
      </c>
      <c r="C76">
        <v>73</v>
      </c>
      <c r="D76">
        <f t="shared" si="2"/>
        <v>0.73232323232323238</v>
      </c>
      <c r="E76">
        <f t="shared" si="3"/>
        <v>0.61985457356549423</v>
      </c>
    </row>
    <row r="77" spans="2:5" x14ac:dyDescent="0.3">
      <c r="B77">
        <f>lns!B11</f>
        <v>0.23605187921492243</v>
      </c>
      <c r="C77">
        <v>74</v>
      </c>
      <c r="D77">
        <f t="shared" si="2"/>
        <v>0.74242424242424243</v>
      </c>
      <c r="E77">
        <f t="shared" si="3"/>
        <v>0.65083730644447746</v>
      </c>
    </row>
    <row r="78" spans="2:5" x14ac:dyDescent="0.3">
      <c r="B78">
        <f>lns!B74</f>
        <v>0.23727522715737634</v>
      </c>
      <c r="C78">
        <v>75</v>
      </c>
      <c r="D78">
        <f t="shared" si="2"/>
        <v>0.75252525252525249</v>
      </c>
      <c r="E78">
        <f t="shared" si="3"/>
        <v>0.68245783666933024</v>
      </c>
    </row>
    <row r="79" spans="2:5" x14ac:dyDescent="0.3">
      <c r="B79">
        <f>lns!B95</f>
        <v>0.26191801106509732</v>
      </c>
      <c r="C79">
        <v>76</v>
      </c>
      <c r="D79">
        <f t="shared" si="2"/>
        <v>0.76262626262626265</v>
      </c>
      <c r="E79">
        <f t="shared" si="3"/>
        <v>0.71477598810315091</v>
      </c>
    </row>
    <row r="80" spans="2:5" x14ac:dyDescent="0.3">
      <c r="B80">
        <f>lns!B47</f>
        <v>0.27337267967789602</v>
      </c>
      <c r="C80">
        <v>77</v>
      </c>
      <c r="D80">
        <f t="shared" si="2"/>
        <v>0.77272727272727271</v>
      </c>
      <c r="E80">
        <f t="shared" si="3"/>
        <v>0.74785859476330196</v>
      </c>
    </row>
    <row r="81" spans="2:5" x14ac:dyDescent="0.3">
      <c r="B81">
        <f>lns!B39</f>
        <v>0.27894148456442991</v>
      </c>
      <c r="C81">
        <v>78</v>
      </c>
      <c r="D81">
        <f t="shared" si="2"/>
        <v>0.78282828282828287</v>
      </c>
      <c r="E81">
        <f t="shared" si="3"/>
        <v>0.78178075276507275</v>
      </c>
    </row>
    <row r="82" spans="2:5" x14ac:dyDescent="0.3">
      <c r="B82">
        <f>lns!B59</f>
        <v>0.29233373666683338</v>
      </c>
      <c r="C82">
        <v>79</v>
      </c>
      <c r="D82">
        <f t="shared" si="2"/>
        <v>0.79292929292929293</v>
      </c>
      <c r="E82">
        <f t="shared" si="3"/>
        <v>0.81662736084860543</v>
      </c>
    </row>
    <row r="83" spans="2:5" x14ac:dyDescent="0.3">
      <c r="B83">
        <f>lns!B76</f>
        <v>0.29685487338411559</v>
      </c>
      <c r="C83">
        <v>80</v>
      </c>
      <c r="D83">
        <f t="shared" si="2"/>
        <v>0.80303030303030298</v>
      </c>
      <c r="E83">
        <f t="shared" si="3"/>
        <v>0.85249503427469353</v>
      </c>
    </row>
    <row r="84" spans="2:5" x14ac:dyDescent="0.3">
      <c r="B84">
        <f>lns!B88</f>
        <v>0.31915166932117622</v>
      </c>
      <c r="C84">
        <v>81</v>
      </c>
      <c r="D84">
        <f t="shared" si="2"/>
        <v>0.81313131313131315</v>
      </c>
      <c r="E84">
        <f t="shared" si="3"/>
        <v>0.88949450753063364</v>
      </c>
    </row>
    <row r="85" spans="2:5" x14ac:dyDescent="0.3">
      <c r="B85">
        <f>lns!B75</f>
        <v>0.35058644659817489</v>
      </c>
      <c r="C85">
        <v>82</v>
      </c>
      <c r="D85">
        <f t="shared" si="2"/>
        <v>0.8232323232323232</v>
      </c>
      <c r="E85">
        <f t="shared" si="3"/>
        <v>0.92775368535742475</v>
      </c>
    </row>
    <row r="86" spans="2:5" x14ac:dyDescent="0.3">
      <c r="B86">
        <f>lns!B86</f>
        <v>0.35616981638328693</v>
      </c>
      <c r="C86">
        <v>83</v>
      </c>
      <c r="D86">
        <f t="shared" si="2"/>
        <v>0.83333333333333337</v>
      </c>
      <c r="E86">
        <f t="shared" si="3"/>
        <v>0.96742156610170071</v>
      </c>
    </row>
    <row r="87" spans="2:5" x14ac:dyDescent="0.3">
      <c r="B87">
        <f>lns!B102</f>
        <v>0.39954763434412677</v>
      </c>
      <c r="C87">
        <v>84</v>
      </c>
      <c r="D87">
        <f t="shared" si="2"/>
        <v>0.84343434343434343</v>
      </c>
      <c r="E87">
        <f t="shared" si="3"/>
        <v>1.0086733576467986</v>
      </c>
    </row>
    <row r="88" spans="2:5" x14ac:dyDescent="0.3">
      <c r="B88">
        <f>lns!B15</f>
        <v>0.48784354737406654</v>
      </c>
      <c r="C88">
        <v>85</v>
      </c>
      <c r="D88">
        <f t="shared" si="2"/>
        <v>0.85353535353535348</v>
      </c>
      <c r="E88">
        <f t="shared" si="3"/>
        <v>1.0517172529984837</v>
      </c>
    </row>
    <row r="89" spans="2:5" x14ac:dyDescent="0.3">
      <c r="B89">
        <f>lns!B79</f>
        <v>0.49083513882566865</v>
      </c>
      <c r="C89">
        <v>86</v>
      </c>
      <c r="D89">
        <f t="shared" si="2"/>
        <v>0.86363636363636365</v>
      </c>
      <c r="E89">
        <f t="shared" si="3"/>
        <v>1.096803562093513</v>
      </c>
    </row>
    <row r="90" spans="2:5" x14ac:dyDescent="0.3">
      <c r="B90">
        <f>lns!B14</f>
        <v>0.51675600424673629</v>
      </c>
      <c r="C90">
        <v>87</v>
      </c>
      <c r="D90">
        <f t="shared" si="2"/>
        <v>0.8737373737373737</v>
      </c>
      <c r="E90">
        <f t="shared" si="3"/>
        <v>1.1442372651002066</v>
      </c>
    </row>
    <row r="91" spans="2:5" x14ac:dyDescent="0.3">
      <c r="B91">
        <f>lns!B51</f>
        <v>0.52912123372882436</v>
      </c>
      <c r="C91">
        <v>88</v>
      </c>
      <c r="D91">
        <f t="shared" si="2"/>
        <v>0.88383838383838387</v>
      </c>
      <c r="E91">
        <f t="shared" si="3"/>
        <v>1.1943956635681565</v>
      </c>
    </row>
    <row r="92" spans="2:5" x14ac:dyDescent="0.3">
      <c r="B92">
        <f>lns!B78</f>
        <v>0.55459750309466938</v>
      </c>
      <c r="C92">
        <v>89</v>
      </c>
      <c r="D92">
        <f t="shared" si="2"/>
        <v>0.89393939393939392</v>
      </c>
      <c r="E92">
        <f t="shared" si="3"/>
        <v>1.2477538553513243</v>
      </c>
    </row>
    <row r="93" spans="2:5" x14ac:dyDescent="0.3">
      <c r="B93">
        <f>lns!B7</f>
        <v>0.56702824765087667</v>
      </c>
      <c r="C93">
        <v>90</v>
      </c>
      <c r="D93">
        <f t="shared" si="2"/>
        <v>0.90404040404040409</v>
      </c>
      <c r="E93">
        <f t="shared" si="3"/>
        <v>1.3049226377527239</v>
      </c>
    </row>
    <row r="94" spans="2:5" x14ac:dyDescent="0.3">
      <c r="B94">
        <f>lns!B77</f>
        <v>0.63909218143720103</v>
      </c>
      <c r="C94">
        <v>91</v>
      </c>
      <c r="D94">
        <f t="shared" si="2"/>
        <v>0.91414141414141414</v>
      </c>
      <c r="E94">
        <f t="shared" si="3"/>
        <v>1.3667069718079636</v>
      </c>
    </row>
    <row r="95" spans="2:5" x14ac:dyDescent="0.3">
      <c r="B95">
        <f>lns!B64</f>
        <v>0.69828396466509768</v>
      </c>
      <c r="C95">
        <v>92</v>
      </c>
      <c r="D95">
        <f t="shared" si="2"/>
        <v>0.9242424242424242</v>
      </c>
      <c r="E95">
        <f t="shared" si="3"/>
        <v>1.434200159686378</v>
      </c>
    </row>
    <row r="96" spans="2:5" x14ac:dyDescent="0.3">
      <c r="B96">
        <f>lns!B99</f>
        <v>0.70636938072906674</v>
      </c>
      <c r="C96">
        <v>93</v>
      </c>
      <c r="D96">
        <f t="shared" si="2"/>
        <v>0.93434343434343436</v>
      </c>
      <c r="E96">
        <f t="shared" si="3"/>
        <v>1.5089438550380383</v>
      </c>
    </row>
    <row r="97" spans="2:5" x14ac:dyDescent="0.3">
      <c r="B97">
        <f>lns!B8</f>
        <v>0.7177617413238645</v>
      </c>
      <c r="C97">
        <v>94</v>
      </c>
      <c r="D97">
        <f t="shared" si="2"/>
        <v>0.94444444444444442</v>
      </c>
      <c r="E97">
        <f t="shared" si="3"/>
        <v>1.59321881802305</v>
      </c>
    </row>
    <row r="98" spans="2:5" x14ac:dyDescent="0.3">
      <c r="B98">
        <f>lns!B97</f>
        <v>0.74676851296286928</v>
      </c>
      <c r="C98">
        <v>95</v>
      </c>
      <c r="D98">
        <f t="shared" si="2"/>
        <v>0.95454545454545459</v>
      </c>
      <c r="E98">
        <f t="shared" si="3"/>
        <v>1.6906216295848984</v>
      </c>
    </row>
    <row r="99" spans="2:5" x14ac:dyDescent="0.3">
      <c r="B99">
        <f>lns!B6</f>
        <v>0.81611232144096479</v>
      </c>
      <c r="C99">
        <v>96</v>
      </c>
      <c r="D99">
        <f t="shared" si="2"/>
        <v>0.96464646464646464</v>
      </c>
      <c r="E99">
        <f t="shared" si="3"/>
        <v>1.807354196799112</v>
      </c>
    </row>
    <row r="100" spans="2:5" x14ac:dyDescent="0.3">
      <c r="B100">
        <f>lns!B85</f>
        <v>0.86300809162856662</v>
      </c>
      <c r="C100">
        <v>97</v>
      </c>
      <c r="D100">
        <f t="shared" si="2"/>
        <v>0.9747474747474747</v>
      </c>
      <c r="E100">
        <f t="shared" si="3"/>
        <v>1.9556614355881674</v>
      </c>
    </row>
    <row r="101" spans="2:5" x14ac:dyDescent="0.3">
      <c r="B101">
        <f>lns!B10</f>
        <v>0.89540207506134994</v>
      </c>
      <c r="C101">
        <v>98</v>
      </c>
      <c r="D101">
        <f t="shared" si="2"/>
        <v>0.98484848484848486</v>
      </c>
      <c r="E101">
        <f t="shared" si="3"/>
        <v>2.166106752892329</v>
      </c>
    </row>
    <row r="102" spans="2:5" x14ac:dyDescent="0.3">
      <c r="B102">
        <f>lns!B9</f>
        <v>1.0537753003922292</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F599-AF32-4F71-AC96-5C073E0FC592}">
  <dimension ref="B3:E102"/>
  <sheetViews>
    <sheetView workbookViewId="0">
      <selection activeCell="B6" sqref="B6"/>
    </sheetView>
  </sheetViews>
  <sheetFormatPr defaultRowHeight="14.4" x14ac:dyDescent="0.3"/>
  <cols>
    <col min="2" max="2" width="17.33203125" customWidth="1"/>
    <col min="4" max="4" width="15" customWidth="1"/>
    <col min="5" max="5" width="17.6640625" customWidth="1"/>
  </cols>
  <sheetData>
    <row r="3" spans="2:5" x14ac:dyDescent="0.3">
      <c r="B3" t="s">
        <v>17</v>
      </c>
      <c r="C3" t="s">
        <v>14</v>
      </c>
      <c r="D3" t="s">
        <v>15</v>
      </c>
      <c r="E3" t="s">
        <v>16</v>
      </c>
    </row>
    <row r="4" spans="2:5" x14ac:dyDescent="0.3">
      <c r="B4">
        <f>lns!C41</f>
        <v>-0.99232979815974498</v>
      </c>
      <c r="C4">
        <v>1</v>
      </c>
      <c r="D4">
        <f>(C4-0.5)/99</f>
        <v>5.0505050505050509E-3</v>
      </c>
      <c r="E4">
        <f>NORMSINV(D4)</f>
        <v>-2.5723521109428895</v>
      </c>
    </row>
    <row r="5" spans="2:5" x14ac:dyDescent="0.3">
      <c r="B5">
        <f>lns!C42</f>
        <v>-0.91039564211063739</v>
      </c>
      <c r="C5">
        <v>2</v>
      </c>
      <c r="D5">
        <f>(C5-0.5)/99</f>
        <v>1.5151515151515152E-2</v>
      </c>
      <c r="E5">
        <f>NORMSINV(D5)</f>
        <v>-2.1661067528923286</v>
      </c>
    </row>
    <row r="6" spans="2:5" x14ac:dyDescent="0.3">
      <c r="B6">
        <f>lns!C31</f>
        <v>-0.88186998167202491</v>
      </c>
      <c r="C6">
        <v>3</v>
      </c>
      <c r="D6">
        <f t="shared" ref="D6:D69" si="0">(C6-0.5)/99</f>
        <v>2.5252525252525252E-2</v>
      </c>
      <c r="E6">
        <f t="shared" ref="E6:E69" si="1">NORMSINV(D6)</f>
        <v>-1.9556614355881679</v>
      </c>
    </row>
    <row r="7" spans="2:5" x14ac:dyDescent="0.3">
      <c r="B7">
        <f>lns!C29</f>
        <v>-0.84751355031327014</v>
      </c>
      <c r="C7">
        <v>4</v>
      </c>
      <c r="D7">
        <f t="shared" si="0"/>
        <v>3.5353535353535352E-2</v>
      </c>
      <c r="E7">
        <f t="shared" si="1"/>
        <v>-1.807354196799112</v>
      </c>
    </row>
    <row r="8" spans="2:5" x14ac:dyDescent="0.3">
      <c r="B8">
        <f>lns!C38</f>
        <v>-0.82057836023253861</v>
      </c>
      <c r="C8">
        <v>5</v>
      </c>
      <c r="D8">
        <f t="shared" si="0"/>
        <v>4.5454545454545456E-2</v>
      </c>
      <c r="E8">
        <f t="shared" si="1"/>
        <v>-1.6906216295848977</v>
      </c>
    </row>
    <row r="9" spans="2:5" x14ac:dyDescent="0.3">
      <c r="B9">
        <f>lns!C44</f>
        <v>-0.74585199699197358</v>
      </c>
      <c r="C9">
        <v>6</v>
      </c>
      <c r="D9">
        <f t="shared" si="0"/>
        <v>5.5555555555555552E-2</v>
      </c>
      <c r="E9">
        <f t="shared" si="1"/>
        <v>-1.5932188180230502</v>
      </c>
    </row>
    <row r="10" spans="2:5" x14ac:dyDescent="0.3">
      <c r="B10">
        <f>lns!C21</f>
        <v>-0.72435099509259526</v>
      </c>
      <c r="C10">
        <v>7</v>
      </c>
      <c r="D10">
        <f t="shared" si="0"/>
        <v>6.5656565656565663E-2</v>
      </c>
      <c r="E10">
        <f t="shared" si="1"/>
        <v>-1.5089438550380374</v>
      </c>
    </row>
    <row r="11" spans="2:5" x14ac:dyDescent="0.3">
      <c r="B11">
        <f>lns!C30</f>
        <v>-0.71635234994266039</v>
      </c>
      <c r="C11">
        <v>8</v>
      </c>
      <c r="D11">
        <f t="shared" si="0"/>
        <v>7.575757575757576E-2</v>
      </c>
      <c r="E11">
        <f t="shared" si="1"/>
        <v>-1.4342001596863787</v>
      </c>
    </row>
    <row r="12" spans="2:5" x14ac:dyDescent="0.3">
      <c r="B12">
        <f>lns!C49</f>
        <v>-0.61420846667874374</v>
      </c>
      <c r="C12">
        <v>9</v>
      </c>
      <c r="D12">
        <f t="shared" si="0"/>
        <v>8.5858585858585856E-2</v>
      </c>
      <c r="E12">
        <f t="shared" si="1"/>
        <v>-1.3667069718079636</v>
      </c>
    </row>
    <row r="13" spans="2:5" x14ac:dyDescent="0.3">
      <c r="B13">
        <f>lns!C28</f>
        <v>-0.61085224183316122</v>
      </c>
      <c r="C13">
        <v>10</v>
      </c>
      <c r="D13">
        <f t="shared" si="0"/>
        <v>9.5959595959595953E-2</v>
      </c>
      <c r="E13">
        <f t="shared" si="1"/>
        <v>-1.304922637752725</v>
      </c>
    </row>
    <row r="14" spans="2:5" x14ac:dyDescent="0.3">
      <c r="B14">
        <f>lns!C72</f>
        <v>-0.60740444128428173</v>
      </c>
      <c r="C14">
        <v>11</v>
      </c>
      <c r="D14">
        <f t="shared" si="0"/>
        <v>0.10606060606060606</v>
      </c>
      <c r="E14">
        <f t="shared" si="1"/>
        <v>-1.2477538553513243</v>
      </c>
    </row>
    <row r="15" spans="2:5" x14ac:dyDescent="0.3">
      <c r="B15">
        <f>lns!C4</f>
        <v>-0.57779732490882729</v>
      </c>
      <c r="C15">
        <v>12</v>
      </c>
      <c r="D15">
        <f t="shared" si="0"/>
        <v>0.11616161616161616</v>
      </c>
      <c r="E15">
        <f t="shared" si="1"/>
        <v>-1.1943956635681565</v>
      </c>
    </row>
    <row r="16" spans="2:5" x14ac:dyDescent="0.3">
      <c r="B16">
        <f>lns!C94</f>
        <v>-0.54844615123289842</v>
      </c>
      <c r="C16">
        <v>13</v>
      </c>
      <c r="D16">
        <f t="shared" si="0"/>
        <v>0.12626262626262627</v>
      </c>
      <c r="E16">
        <f t="shared" si="1"/>
        <v>-1.1442372651002066</v>
      </c>
    </row>
    <row r="17" spans="2:5" x14ac:dyDescent="0.3">
      <c r="B17">
        <f>lns!C26</f>
        <v>-0.5344832721166658</v>
      </c>
      <c r="C17">
        <v>14</v>
      </c>
      <c r="D17">
        <f t="shared" si="0"/>
        <v>0.13636363636363635</v>
      </c>
      <c r="E17">
        <f t="shared" si="1"/>
        <v>-1.096803562093513</v>
      </c>
    </row>
    <row r="18" spans="2:5" x14ac:dyDescent="0.3">
      <c r="B18">
        <f>lns!C70</f>
        <v>-0.50109313842161074</v>
      </c>
      <c r="C18">
        <v>15</v>
      </c>
      <c r="D18">
        <f t="shared" si="0"/>
        <v>0.14646464646464646</v>
      </c>
      <c r="E18">
        <f t="shared" si="1"/>
        <v>-1.0517172529984806</v>
      </c>
    </row>
    <row r="19" spans="2:5" x14ac:dyDescent="0.3">
      <c r="B19">
        <f>lns!C45</f>
        <v>-0.49620634146282616</v>
      </c>
      <c r="C19">
        <v>16</v>
      </c>
      <c r="D19">
        <f t="shared" si="0"/>
        <v>0.15656565656565657</v>
      </c>
      <c r="E19">
        <f t="shared" si="1"/>
        <v>-1.0086733576467986</v>
      </c>
    </row>
    <row r="20" spans="2:5" x14ac:dyDescent="0.3">
      <c r="B20">
        <f>lns!C36</f>
        <v>-0.48745420877617579</v>
      </c>
      <c r="C20">
        <v>17</v>
      </c>
      <c r="D20">
        <f t="shared" si="0"/>
        <v>0.16666666666666666</v>
      </c>
      <c r="E20">
        <f t="shared" si="1"/>
        <v>-0.96742156610170071</v>
      </c>
    </row>
    <row r="21" spans="2:5" x14ac:dyDescent="0.3">
      <c r="B21">
        <f>lns!C40</f>
        <v>-0.48293649945080813</v>
      </c>
      <c r="C21">
        <v>18</v>
      </c>
      <c r="D21">
        <f t="shared" si="0"/>
        <v>0.17676767676767677</v>
      </c>
      <c r="E21">
        <f t="shared" si="1"/>
        <v>-0.92775368535742475</v>
      </c>
    </row>
    <row r="22" spans="2:5" x14ac:dyDescent="0.3">
      <c r="B22">
        <f>lns!C35</f>
        <v>-0.4672953000823607</v>
      </c>
      <c r="C22">
        <v>19</v>
      </c>
      <c r="D22">
        <f t="shared" si="0"/>
        <v>0.18686868686868688</v>
      </c>
      <c r="E22">
        <f t="shared" si="1"/>
        <v>-0.88949450753063364</v>
      </c>
    </row>
    <row r="23" spans="2:5" x14ac:dyDescent="0.3">
      <c r="B23">
        <f>lns!C37</f>
        <v>-0.46472956162304446</v>
      </c>
      <c r="C23">
        <v>20</v>
      </c>
      <c r="D23">
        <f t="shared" si="0"/>
        <v>0.19696969696969696</v>
      </c>
      <c r="E23">
        <f t="shared" si="1"/>
        <v>-0.85249503427469364</v>
      </c>
    </row>
    <row r="24" spans="2:5" x14ac:dyDescent="0.3">
      <c r="B24">
        <f>lns!C71</f>
        <v>-0.45233189814806601</v>
      </c>
      <c r="C24">
        <v>21</v>
      </c>
      <c r="D24">
        <f t="shared" si="0"/>
        <v>0.20707070707070707</v>
      </c>
      <c r="E24">
        <f t="shared" si="1"/>
        <v>-0.81662736084860543</v>
      </c>
    </row>
    <row r="25" spans="2:5" x14ac:dyDescent="0.3">
      <c r="B25">
        <f>lns!C54</f>
        <v>-0.43274638089002776</v>
      </c>
      <c r="C25">
        <v>22</v>
      </c>
      <c r="D25">
        <f t="shared" si="0"/>
        <v>0.21717171717171718</v>
      </c>
      <c r="E25">
        <f t="shared" si="1"/>
        <v>-0.78178075276507197</v>
      </c>
    </row>
    <row r="26" spans="2:5" x14ac:dyDescent="0.3">
      <c r="B26">
        <f>lns!C69</f>
        <v>-0.41479903397792467</v>
      </c>
      <c r="C26">
        <v>23</v>
      </c>
      <c r="D26">
        <f t="shared" si="0"/>
        <v>0.22727272727272727</v>
      </c>
      <c r="E26">
        <f t="shared" si="1"/>
        <v>-0.74785859476330196</v>
      </c>
    </row>
    <row r="27" spans="2:5" x14ac:dyDescent="0.3">
      <c r="B27">
        <f>lns!C90</f>
        <v>-0.41426017153979255</v>
      </c>
      <c r="C27">
        <v>24</v>
      </c>
      <c r="D27">
        <f t="shared" si="0"/>
        <v>0.23737373737373738</v>
      </c>
      <c r="E27">
        <f t="shared" si="1"/>
        <v>-0.71477598810315091</v>
      </c>
    </row>
    <row r="28" spans="2:5" x14ac:dyDescent="0.3">
      <c r="B28">
        <f>lns!C18</f>
        <v>-0.40000305233115735</v>
      </c>
      <c r="C28">
        <v>25</v>
      </c>
      <c r="D28">
        <f t="shared" si="0"/>
        <v>0.24747474747474749</v>
      </c>
      <c r="E28">
        <f t="shared" si="1"/>
        <v>-0.68245783666933024</v>
      </c>
    </row>
    <row r="29" spans="2:5" x14ac:dyDescent="0.3">
      <c r="B29">
        <f>lns!C19</f>
        <v>-0.39887437478421522</v>
      </c>
      <c r="C29">
        <v>26</v>
      </c>
      <c r="D29">
        <f t="shared" si="0"/>
        <v>0.25757575757575757</v>
      </c>
      <c r="E29">
        <f t="shared" si="1"/>
        <v>-0.65083730644447746</v>
      </c>
    </row>
    <row r="30" spans="2:5" x14ac:dyDescent="0.3">
      <c r="B30">
        <f>lns!C20</f>
        <v>-0.3932485352411878</v>
      </c>
      <c r="C30">
        <v>27</v>
      </c>
      <c r="D30">
        <f t="shared" si="0"/>
        <v>0.26767676767676768</v>
      </c>
      <c r="E30">
        <f t="shared" si="1"/>
        <v>-0.61985457356549389</v>
      </c>
    </row>
    <row r="31" spans="2:5" x14ac:dyDescent="0.3">
      <c r="B31">
        <f>lns!C43</f>
        <v>-0.39117766150009486</v>
      </c>
      <c r="C31">
        <v>28</v>
      </c>
      <c r="D31">
        <f t="shared" si="0"/>
        <v>0.27777777777777779</v>
      </c>
      <c r="E31">
        <f t="shared" si="1"/>
        <v>-0.58945579784977842</v>
      </c>
    </row>
    <row r="32" spans="2:5" x14ac:dyDescent="0.3">
      <c r="B32">
        <f>lns!C48</f>
        <v>-0.3865746614281339</v>
      </c>
      <c r="C32">
        <v>29</v>
      </c>
      <c r="D32">
        <f t="shared" si="0"/>
        <v>0.2878787878787879</v>
      </c>
      <c r="E32">
        <f t="shared" si="1"/>
        <v>-0.5595922742274323</v>
      </c>
    </row>
    <row r="33" spans="2:5" x14ac:dyDescent="0.3">
      <c r="B33">
        <f>lns!C62</f>
        <v>-0.37306132753182947</v>
      </c>
      <c r="C33">
        <v>30</v>
      </c>
      <c r="D33">
        <f t="shared" si="0"/>
        <v>0.29797979797979796</v>
      </c>
      <c r="E33">
        <f t="shared" si="1"/>
        <v>-0.53021972582422794</v>
      </c>
    </row>
    <row r="34" spans="2:5" x14ac:dyDescent="0.3">
      <c r="B34">
        <f>lns!C53</f>
        <v>-0.37148840925610288</v>
      </c>
      <c r="C34">
        <v>31</v>
      </c>
      <c r="D34">
        <f t="shared" si="0"/>
        <v>0.30808080808080807</v>
      </c>
      <c r="E34">
        <f t="shared" si="1"/>
        <v>-0.50129771076772867</v>
      </c>
    </row>
    <row r="35" spans="2:5" x14ac:dyDescent="0.3">
      <c r="B35">
        <f>lns!C83</f>
        <v>-0.35765113454348979</v>
      </c>
      <c r="C35">
        <v>32</v>
      </c>
      <c r="D35">
        <f t="shared" si="0"/>
        <v>0.31818181818181818</v>
      </c>
      <c r="E35">
        <f t="shared" si="1"/>
        <v>-0.47278912099226744</v>
      </c>
    </row>
    <row r="36" spans="2:5" x14ac:dyDescent="0.3">
      <c r="B36">
        <f>lns!C82</f>
        <v>-0.35597233368427877</v>
      </c>
      <c r="C36">
        <v>33</v>
      </c>
      <c r="D36">
        <f t="shared" si="0"/>
        <v>0.32828282828282829</v>
      </c>
      <c r="E36">
        <f t="shared" si="1"/>
        <v>-0.4446597559886718</v>
      </c>
    </row>
    <row r="37" spans="2:5" x14ac:dyDescent="0.3">
      <c r="B37">
        <f>lns!C33</f>
        <v>-0.34909375391841913</v>
      </c>
      <c r="C37">
        <v>34</v>
      </c>
      <c r="D37">
        <f t="shared" si="0"/>
        <v>0.3383838383838384</v>
      </c>
      <c r="E37">
        <f t="shared" si="1"/>
        <v>-0.41687795799540722</v>
      </c>
    </row>
    <row r="38" spans="2:5" x14ac:dyDescent="0.3">
      <c r="B38">
        <f>lns!C22</f>
        <v>-0.33726455041890901</v>
      </c>
      <c r="C38">
        <v>35</v>
      </c>
      <c r="D38">
        <f t="shared" si="0"/>
        <v>0.34848484848484851</v>
      </c>
      <c r="E38">
        <f t="shared" si="1"/>
        <v>-0.38941429785214438</v>
      </c>
    </row>
    <row r="39" spans="2:5" x14ac:dyDescent="0.3">
      <c r="B39">
        <f>lns!C91</f>
        <v>-0.32998432868568783</v>
      </c>
      <c r="C39">
        <v>36</v>
      </c>
      <c r="D39">
        <f t="shared" si="0"/>
        <v>0.35858585858585856</v>
      </c>
      <c r="E39">
        <f t="shared" si="1"/>
        <v>-0.3622413028447366</v>
      </c>
    </row>
    <row r="40" spans="2:5" x14ac:dyDescent="0.3">
      <c r="B40">
        <f>lns!C32</f>
        <v>-0.29207035355521044</v>
      </c>
      <c r="C40">
        <v>37</v>
      </c>
      <c r="D40">
        <f t="shared" si="0"/>
        <v>0.36868686868686867</v>
      </c>
      <c r="E40">
        <f t="shared" si="1"/>
        <v>-0.33533321951439826</v>
      </c>
    </row>
    <row r="41" spans="2:5" x14ac:dyDescent="0.3">
      <c r="B41">
        <f>lns!C56</f>
        <v>-0.27453158703168357</v>
      </c>
      <c r="C41">
        <v>38</v>
      </c>
      <c r="D41">
        <f t="shared" si="0"/>
        <v>0.37878787878787878</v>
      </c>
      <c r="E41">
        <f t="shared" si="1"/>
        <v>-0.30866580569493407</v>
      </c>
    </row>
    <row r="42" spans="2:5" x14ac:dyDescent="0.3">
      <c r="B42">
        <f>lns!C81</f>
        <v>-0.23112532105586744</v>
      </c>
      <c r="C42">
        <v>39</v>
      </c>
      <c r="D42">
        <f t="shared" si="0"/>
        <v>0.3888888888888889</v>
      </c>
      <c r="E42">
        <f t="shared" si="1"/>
        <v>-0.28221614706250814</v>
      </c>
    </row>
    <row r="43" spans="2:5" x14ac:dyDescent="0.3">
      <c r="B43">
        <f>lns!C73</f>
        <v>-0.2240126788961897</v>
      </c>
      <c r="C43">
        <v>40</v>
      </c>
      <c r="D43">
        <f t="shared" si="0"/>
        <v>0.39898989898989901</v>
      </c>
      <c r="E43">
        <f t="shared" si="1"/>
        <v>-0.25596249429406465</v>
      </c>
    </row>
    <row r="44" spans="2:5" x14ac:dyDescent="0.3">
      <c r="B44">
        <f>lns!C46</f>
        <v>-0.21179444672606712</v>
      </c>
      <c r="C44">
        <v>41</v>
      </c>
      <c r="D44">
        <f t="shared" si="0"/>
        <v>0.40909090909090912</v>
      </c>
      <c r="E44">
        <f t="shared" si="1"/>
        <v>-0.22988411757923208</v>
      </c>
    </row>
    <row r="45" spans="2:5" x14ac:dyDescent="0.3">
      <c r="B45">
        <f>lns!C66</f>
        <v>-0.20898057148630217</v>
      </c>
      <c r="C45">
        <v>42</v>
      </c>
      <c r="D45">
        <f t="shared" si="0"/>
        <v>0.41919191919191917</v>
      </c>
      <c r="E45">
        <f t="shared" si="1"/>
        <v>-0.20396117575131437</v>
      </c>
    </row>
    <row r="46" spans="2:5" x14ac:dyDescent="0.3">
      <c r="B46">
        <f>lns!C89</f>
        <v>-0.18162739777808151</v>
      </c>
      <c r="C46">
        <v>43</v>
      </c>
      <c r="D46">
        <f t="shared" si="0"/>
        <v>0.42929292929292928</v>
      </c>
      <c r="E46">
        <f t="shared" si="1"/>
        <v>-0.17817459772241043</v>
      </c>
    </row>
    <row r="47" spans="2:5" x14ac:dyDescent="0.3">
      <c r="B47">
        <f>lns!C61</f>
        <v>-0.18095009767409037</v>
      </c>
      <c r="C47">
        <v>44</v>
      </c>
      <c r="D47">
        <f t="shared" si="0"/>
        <v>0.43939393939393939</v>
      </c>
      <c r="E47">
        <f t="shared" si="1"/>
        <v>-0.15250597424624437</v>
      </c>
    </row>
    <row r="48" spans="2:5" x14ac:dyDescent="0.3">
      <c r="B48">
        <f>lns!C101</f>
        <v>-0.18012716623101893</v>
      </c>
      <c r="C48">
        <v>45</v>
      </c>
      <c r="D48">
        <f t="shared" si="0"/>
        <v>0.4494949494949495</v>
      </c>
      <c r="E48">
        <f t="shared" si="1"/>
        <v>-0.12693745830564304</v>
      </c>
    </row>
    <row r="49" spans="2:5" x14ac:dyDescent="0.3">
      <c r="B49">
        <f>lns!C25</f>
        <v>-0.17765764973644846</v>
      </c>
      <c r="C49">
        <v>46</v>
      </c>
      <c r="D49">
        <f t="shared" si="0"/>
        <v>0.45959595959595961</v>
      </c>
      <c r="E49">
        <f t="shared" si="1"/>
        <v>-0.1014516726419474</v>
      </c>
    </row>
    <row r="50" spans="2:5" x14ac:dyDescent="0.3">
      <c r="B50">
        <f>lns!C98</f>
        <v>-0.1522448304458312</v>
      </c>
      <c r="C50">
        <v>47</v>
      </c>
      <c r="D50">
        <f t="shared" si="0"/>
        <v>0.46969696969696972</v>
      </c>
      <c r="E50">
        <f t="shared" si="1"/>
        <v>-7.60316231203884E-2</v>
      </c>
    </row>
    <row r="51" spans="2:5" x14ac:dyDescent="0.3">
      <c r="B51">
        <f>lns!C93</f>
        <v>-0.13150487596860549</v>
      </c>
      <c r="C51">
        <v>48</v>
      </c>
      <c r="D51">
        <f t="shared" si="0"/>
        <v>0.47979797979797978</v>
      </c>
      <c r="E51">
        <f t="shared" si="1"/>
        <v>-5.0660616765876576E-2</v>
      </c>
    </row>
    <row r="52" spans="2:5" x14ac:dyDescent="0.3">
      <c r="B52">
        <f>lns!C96</f>
        <v>-0.12812432292305176</v>
      </c>
      <c r="C52">
        <v>49</v>
      </c>
      <c r="D52">
        <f t="shared" si="0"/>
        <v>0.48989898989898989</v>
      </c>
      <c r="E52">
        <f t="shared" si="1"/>
        <v>-2.5322183413346296E-2</v>
      </c>
    </row>
    <row r="53" spans="2:5" x14ac:dyDescent="0.3">
      <c r="B53">
        <f>lns!C60</f>
        <v>-0.12513474335727839</v>
      </c>
      <c r="C53">
        <v>50</v>
      </c>
      <c r="D53">
        <f t="shared" si="0"/>
        <v>0.5</v>
      </c>
      <c r="E53">
        <f t="shared" si="1"/>
        <v>0</v>
      </c>
    </row>
    <row r="54" spans="2:5" x14ac:dyDescent="0.3">
      <c r="B54">
        <f>lns!C24</f>
        <v>-0.12398623578102401</v>
      </c>
      <c r="C54">
        <v>51</v>
      </c>
      <c r="D54">
        <f t="shared" si="0"/>
        <v>0.51010101010101006</v>
      </c>
      <c r="E54">
        <f t="shared" si="1"/>
        <v>2.5322183413346164E-2</v>
      </c>
    </row>
    <row r="55" spans="2:5" x14ac:dyDescent="0.3">
      <c r="B55">
        <f>lns!C34</f>
        <v>-0.11510898910779314</v>
      </c>
      <c r="C55">
        <v>52</v>
      </c>
      <c r="D55">
        <f t="shared" si="0"/>
        <v>0.52020202020202022</v>
      </c>
      <c r="E55">
        <f t="shared" si="1"/>
        <v>5.0660616765876576E-2</v>
      </c>
    </row>
    <row r="56" spans="2:5" x14ac:dyDescent="0.3">
      <c r="B56">
        <f>lns!C13</f>
        <v>-0.1111326982525174</v>
      </c>
      <c r="C56">
        <v>53</v>
      </c>
      <c r="D56">
        <f t="shared" si="0"/>
        <v>0.53030303030303028</v>
      </c>
      <c r="E56">
        <f t="shared" si="1"/>
        <v>7.60316231203884E-2</v>
      </c>
    </row>
    <row r="57" spans="2:5" x14ac:dyDescent="0.3">
      <c r="B57">
        <f>lns!C27</f>
        <v>-0.108460872356177</v>
      </c>
      <c r="C57">
        <v>54</v>
      </c>
      <c r="D57">
        <f t="shared" si="0"/>
        <v>0.54040404040404044</v>
      </c>
      <c r="E57">
        <f t="shared" si="1"/>
        <v>0.10145167264194754</v>
      </c>
    </row>
    <row r="58" spans="2:5" x14ac:dyDescent="0.3">
      <c r="B58">
        <f>lns!C58</f>
        <v>-9.4153548959743871E-2</v>
      </c>
      <c r="C58">
        <v>55</v>
      </c>
      <c r="D58">
        <f t="shared" si="0"/>
        <v>0.5505050505050505</v>
      </c>
      <c r="E58">
        <f t="shared" si="1"/>
        <v>0.12693745830564304</v>
      </c>
    </row>
    <row r="59" spans="2:5" x14ac:dyDescent="0.3">
      <c r="B59">
        <f>lns!C68</f>
        <v>-9.3368266538984002E-2</v>
      </c>
      <c r="C59">
        <v>56</v>
      </c>
      <c r="D59">
        <f t="shared" si="0"/>
        <v>0.56060606060606055</v>
      </c>
      <c r="E59">
        <f t="shared" si="1"/>
        <v>0.15250597424624424</v>
      </c>
    </row>
    <row r="60" spans="2:5" x14ac:dyDescent="0.3">
      <c r="B60">
        <f>lns!C100</f>
        <v>-8.0128211328869797E-2</v>
      </c>
      <c r="C60">
        <v>57</v>
      </c>
      <c r="D60">
        <f t="shared" si="0"/>
        <v>0.57070707070707072</v>
      </c>
      <c r="E60">
        <f t="shared" si="1"/>
        <v>0.17817459772241043</v>
      </c>
    </row>
    <row r="61" spans="2:5" x14ac:dyDescent="0.3">
      <c r="B61">
        <f>lns!C5</f>
        <v>-5.8476929758975837E-2</v>
      </c>
      <c r="C61">
        <v>58</v>
      </c>
      <c r="D61">
        <f t="shared" si="0"/>
        <v>0.58080808080808077</v>
      </c>
      <c r="E61">
        <f t="shared" si="1"/>
        <v>0.2039611757513142</v>
      </c>
    </row>
    <row r="62" spans="2:5" x14ac:dyDescent="0.3">
      <c r="B62">
        <f>lns!C84</f>
        <v>-4.6378025715938527E-2</v>
      </c>
      <c r="C62">
        <v>59</v>
      </c>
      <c r="D62">
        <f t="shared" si="0"/>
        <v>0.59090909090909094</v>
      </c>
      <c r="E62">
        <f t="shared" si="1"/>
        <v>0.22988411757923222</v>
      </c>
    </row>
    <row r="63" spans="2:5" x14ac:dyDescent="0.3">
      <c r="B63">
        <f>lns!C63</f>
        <v>-4.5768583744850558E-2</v>
      </c>
      <c r="C63">
        <v>60</v>
      </c>
      <c r="D63">
        <f t="shared" si="0"/>
        <v>0.60101010101010099</v>
      </c>
      <c r="E63">
        <f t="shared" si="1"/>
        <v>0.25596249429406465</v>
      </c>
    </row>
    <row r="64" spans="2:5" x14ac:dyDescent="0.3">
      <c r="B64">
        <f>lns!C52</f>
        <v>-4.4847795526988185E-2</v>
      </c>
      <c r="C64">
        <v>61</v>
      </c>
      <c r="D64">
        <f t="shared" si="0"/>
        <v>0.61111111111111116</v>
      </c>
      <c r="E64">
        <f t="shared" si="1"/>
        <v>0.28221614706250825</v>
      </c>
    </row>
    <row r="65" spans="2:5" x14ac:dyDescent="0.3">
      <c r="B65">
        <f>lns!C92</f>
        <v>-4.3231144192277471E-2</v>
      </c>
      <c r="C65">
        <v>62</v>
      </c>
      <c r="D65">
        <f t="shared" si="0"/>
        <v>0.62121212121212122</v>
      </c>
      <c r="E65">
        <f t="shared" si="1"/>
        <v>0.30866580569493407</v>
      </c>
    </row>
    <row r="66" spans="2:5" x14ac:dyDescent="0.3">
      <c r="B66">
        <f>lns!C55</f>
        <v>-4.2315818052588772E-2</v>
      </c>
      <c r="C66">
        <v>63</v>
      </c>
      <c r="D66">
        <f t="shared" si="0"/>
        <v>0.63131313131313127</v>
      </c>
      <c r="E66">
        <f t="shared" si="1"/>
        <v>0.3353332195143981</v>
      </c>
    </row>
    <row r="67" spans="2:5" x14ac:dyDescent="0.3">
      <c r="B67">
        <f>lns!C12</f>
        <v>-4.473993399446605E-3</v>
      </c>
      <c r="C67">
        <v>64</v>
      </c>
      <c r="D67">
        <f t="shared" si="0"/>
        <v>0.64141414141414144</v>
      </c>
      <c r="E67">
        <f t="shared" si="1"/>
        <v>0.3622413028447366</v>
      </c>
    </row>
    <row r="68" spans="2:5" x14ac:dyDescent="0.3">
      <c r="B68">
        <f>lns!C87</f>
        <v>4.519322674875343E-2</v>
      </c>
      <c r="C68">
        <v>65</v>
      </c>
      <c r="D68">
        <f t="shared" si="0"/>
        <v>0.65151515151515149</v>
      </c>
      <c r="E68">
        <f t="shared" si="1"/>
        <v>0.38941429785214438</v>
      </c>
    </row>
    <row r="69" spans="2:5" x14ac:dyDescent="0.3">
      <c r="B69">
        <f>lns!C65</f>
        <v>5.0189185083139257E-2</v>
      </c>
      <c r="C69">
        <v>66</v>
      </c>
      <c r="D69">
        <f t="shared" si="0"/>
        <v>0.66161616161616166</v>
      </c>
      <c r="E69">
        <f t="shared" si="1"/>
        <v>0.41687795799540739</v>
      </c>
    </row>
    <row r="70" spans="2:5" x14ac:dyDescent="0.3">
      <c r="B70">
        <f>lns!C74</f>
        <v>6.2664891990191804E-2</v>
      </c>
      <c r="C70">
        <v>67</v>
      </c>
      <c r="D70">
        <f t="shared" ref="D70:D102" si="2">(C70-0.5)/99</f>
        <v>0.67171717171717171</v>
      </c>
      <c r="E70">
        <f t="shared" ref="E70:E102" si="3">NORMSINV(D70)</f>
        <v>0.4446597559886718</v>
      </c>
    </row>
    <row r="71" spans="2:5" x14ac:dyDescent="0.3">
      <c r="B71">
        <f>lns!C67</f>
        <v>7.41886831822135E-2</v>
      </c>
      <c r="C71">
        <v>68</v>
      </c>
      <c r="D71">
        <f t="shared" si="2"/>
        <v>0.68181818181818177</v>
      </c>
      <c r="E71">
        <f t="shared" si="3"/>
        <v>0.47278912099226728</v>
      </c>
    </row>
    <row r="72" spans="2:5" x14ac:dyDescent="0.3">
      <c r="B72">
        <f>lns!C57</f>
        <v>7.9541043399515399E-2</v>
      </c>
      <c r="C72">
        <v>69</v>
      </c>
      <c r="D72">
        <f t="shared" si="2"/>
        <v>0.69191919191919193</v>
      </c>
      <c r="E72">
        <f t="shared" si="3"/>
        <v>0.50129771076772867</v>
      </c>
    </row>
    <row r="73" spans="2:5" x14ac:dyDescent="0.3">
      <c r="B73">
        <f>lns!C80</f>
        <v>0.10784043810664656</v>
      </c>
      <c r="C73">
        <v>70</v>
      </c>
      <c r="D73">
        <f t="shared" si="2"/>
        <v>0.70202020202020199</v>
      </c>
      <c r="E73">
        <f t="shared" si="3"/>
        <v>0.53021972582422772</v>
      </c>
    </row>
    <row r="74" spans="2:5" x14ac:dyDescent="0.3">
      <c r="B74">
        <f>lns!C39</f>
        <v>0.10946408449056355</v>
      </c>
      <c r="C74">
        <v>71</v>
      </c>
      <c r="D74">
        <f t="shared" si="2"/>
        <v>0.71212121212121215</v>
      </c>
      <c r="E74">
        <f t="shared" si="3"/>
        <v>0.55959227422743252</v>
      </c>
    </row>
    <row r="75" spans="2:5" x14ac:dyDescent="0.3">
      <c r="B75">
        <f>lns!C47</f>
        <v>0.11472948943690137</v>
      </c>
      <c r="C75">
        <v>72</v>
      </c>
      <c r="D75">
        <f t="shared" si="2"/>
        <v>0.72222222222222221</v>
      </c>
      <c r="E75">
        <f t="shared" si="3"/>
        <v>0.58945579784977842</v>
      </c>
    </row>
    <row r="76" spans="2:5" x14ac:dyDescent="0.3">
      <c r="B76">
        <f>lns!C50</f>
        <v>0.13349889209638613</v>
      </c>
      <c r="C76">
        <v>73</v>
      </c>
      <c r="D76">
        <f t="shared" si="2"/>
        <v>0.73232323232323238</v>
      </c>
      <c r="E76">
        <f t="shared" si="3"/>
        <v>0.61985457356549423</v>
      </c>
    </row>
    <row r="77" spans="2:5" x14ac:dyDescent="0.3">
      <c r="B77">
        <f>lns!C17</f>
        <v>0.18472699474033857</v>
      </c>
      <c r="C77">
        <v>74</v>
      </c>
      <c r="D77">
        <f t="shared" si="2"/>
        <v>0.74242424242424243</v>
      </c>
      <c r="E77">
        <f t="shared" si="3"/>
        <v>0.65083730644447746</v>
      </c>
    </row>
    <row r="78" spans="2:5" x14ac:dyDescent="0.3">
      <c r="B78">
        <f>lns!C95</f>
        <v>0.18918130814166426</v>
      </c>
      <c r="C78">
        <v>75</v>
      </c>
      <c r="D78">
        <f t="shared" si="2"/>
        <v>0.75252525252525249</v>
      </c>
      <c r="E78">
        <f t="shared" si="3"/>
        <v>0.68245783666933024</v>
      </c>
    </row>
    <row r="79" spans="2:5" x14ac:dyDescent="0.3">
      <c r="B79">
        <f>lns!C76</f>
        <v>0.19468646196408521</v>
      </c>
      <c r="C79">
        <v>76</v>
      </c>
      <c r="D79">
        <f t="shared" si="2"/>
        <v>0.76262626262626265</v>
      </c>
      <c r="E79">
        <f t="shared" si="3"/>
        <v>0.71477598810315091</v>
      </c>
    </row>
    <row r="80" spans="2:5" x14ac:dyDescent="0.3">
      <c r="B80">
        <f>lns!C59</f>
        <v>0.22138200069454894</v>
      </c>
      <c r="C80">
        <v>77</v>
      </c>
      <c r="D80">
        <f t="shared" si="2"/>
        <v>0.77272727272727271</v>
      </c>
      <c r="E80">
        <f t="shared" si="3"/>
        <v>0.74785859476330196</v>
      </c>
    </row>
    <row r="81" spans="2:5" x14ac:dyDescent="0.3">
      <c r="B81">
        <f>lns!C102</f>
        <v>0.22719931557204007</v>
      </c>
      <c r="C81">
        <v>78</v>
      </c>
      <c r="D81">
        <f t="shared" si="2"/>
        <v>0.78282828282828287</v>
      </c>
      <c r="E81">
        <f t="shared" si="3"/>
        <v>0.78178075276507275</v>
      </c>
    </row>
    <row r="82" spans="2:5" x14ac:dyDescent="0.3">
      <c r="B82">
        <f>lns!C11</f>
        <v>0.25193312573704629</v>
      </c>
      <c r="C82">
        <v>79</v>
      </c>
      <c r="D82">
        <f t="shared" si="2"/>
        <v>0.79292929292929293</v>
      </c>
      <c r="E82">
        <f t="shared" si="3"/>
        <v>0.81662736084860543</v>
      </c>
    </row>
    <row r="83" spans="2:5" x14ac:dyDescent="0.3">
      <c r="B83">
        <f>lns!C23</f>
        <v>0.26460022438341801</v>
      </c>
      <c r="C83">
        <v>80</v>
      </c>
      <c r="D83">
        <f t="shared" si="2"/>
        <v>0.80303030303030298</v>
      </c>
      <c r="E83">
        <f t="shared" si="3"/>
        <v>0.85249503427469353</v>
      </c>
    </row>
    <row r="84" spans="2:5" x14ac:dyDescent="0.3">
      <c r="B84">
        <f>lns!C78</f>
        <v>0.27654023203293632</v>
      </c>
      <c r="C84">
        <v>81</v>
      </c>
      <c r="D84">
        <f t="shared" si="2"/>
        <v>0.81313131313131315</v>
      </c>
      <c r="E84">
        <f t="shared" si="3"/>
        <v>0.88949450753063364</v>
      </c>
    </row>
    <row r="85" spans="2:5" x14ac:dyDescent="0.3">
      <c r="B85">
        <f>lns!C75</f>
        <v>0.27714677053639819</v>
      </c>
      <c r="C85">
        <v>82</v>
      </c>
      <c r="D85">
        <f t="shared" si="2"/>
        <v>0.8232323232323232</v>
      </c>
      <c r="E85">
        <f t="shared" si="3"/>
        <v>0.92775368535742475</v>
      </c>
    </row>
    <row r="86" spans="2:5" x14ac:dyDescent="0.3">
      <c r="B86">
        <f>lns!C77</f>
        <v>0.31863553277343049</v>
      </c>
      <c r="C86">
        <v>83</v>
      </c>
      <c r="D86">
        <f t="shared" si="2"/>
        <v>0.83333333333333337</v>
      </c>
      <c r="E86">
        <f t="shared" si="3"/>
        <v>0.96742156610170071</v>
      </c>
    </row>
    <row r="87" spans="2:5" x14ac:dyDescent="0.3">
      <c r="B87">
        <f>lns!C51</f>
        <v>0.32452977994524601</v>
      </c>
      <c r="C87">
        <v>84</v>
      </c>
      <c r="D87">
        <f t="shared" si="2"/>
        <v>0.84343434343434343</v>
      </c>
      <c r="E87">
        <f t="shared" si="3"/>
        <v>1.0086733576467986</v>
      </c>
    </row>
    <row r="88" spans="2:5" x14ac:dyDescent="0.3">
      <c r="B88">
        <f>lns!C86</f>
        <v>0.36119272338755598</v>
      </c>
      <c r="C88">
        <v>85</v>
      </c>
      <c r="D88">
        <f t="shared" si="2"/>
        <v>0.85353535353535348</v>
      </c>
      <c r="E88">
        <f t="shared" si="3"/>
        <v>1.0517172529984837</v>
      </c>
    </row>
    <row r="89" spans="2:5" x14ac:dyDescent="0.3">
      <c r="B89">
        <f>lns!C16</f>
        <v>0.37256994640389501</v>
      </c>
      <c r="C89">
        <v>86</v>
      </c>
      <c r="D89">
        <f t="shared" si="2"/>
        <v>0.86363636363636365</v>
      </c>
      <c r="E89">
        <f t="shared" si="3"/>
        <v>1.096803562093513</v>
      </c>
    </row>
    <row r="90" spans="2:5" x14ac:dyDescent="0.3">
      <c r="B90">
        <f>lns!C88</f>
        <v>0.41753200932630241</v>
      </c>
      <c r="C90">
        <v>87</v>
      </c>
      <c r="D90">
        <f t="shared" si="2"/>
        <v>0.8737373737373737</v>
      </c>
      <c r="E90">
        <f t="shared" si="3"/>
        <v>1.1442372651002066</v>
      </c>
    </row>
    <row r="91" spans="2:5" x14ac:dyDescent="0.3">
      <c r="B91">
        <f>lns!C7</f>
        <v>0.45280660441721399</v>
      </c>
      <c r="C91">
        <v>88</v>
      </c>
      <c r="D91">
        <f t="shared" si="2"/>
        <v>0.88383838383838387</v>
      </c>
      <c r="E91">
        <f t="shared" si="3"/>
        <v>1.1943956635681565</v>
      </c>
    </row>
    <row r="92" spans="2:5" x14ac:dyDescent="0.3">
      <c r="B92">
        <f>lns!C99</f>
        <v>0.45889844430521437</v>
      </c>
      <c r="C92">
        <v>89</v>
      </c>
      <c r="D92">
        <f t="shared" si="2"/>
        <v>0.89393939393939392</v>
      </c>
      <c r="E92">
        <f t="shared" si="3"/>
        <v>1.2477538553513243</v>
      </c>
    </row>
    <row r="93" spans="2:5" x14ac:dyDescent="0.3">
      <c r="B93">
        <f>lns!C14</f>
        <v>0.46581988959940457</v>
      </c>
      <c r="C93">
        <v>90</v>
      </c>
      <c r="D93">
        <f t="shared" si="2"/>
        <v>0.90404040404040409</v>
      </c>
      <c r="E93">
        <f t="shared" si="3"/>
        <v>1.3049226377527239</v>
      </c>
    </row>
    <row r="94" spans="2:5" x14ac:dyDescent="0.3">
      <c r="B94">
        <f>lns!C79</f>
        <v>0.56859818231379899</v>
      </c>
      <c r="C94">
        <v>91</v>
      </c>
      <c r="D94">
        <f t="shared" si="2"/>
        <v>0.91414141414141414</v>
      </c>
      <c r="E94">
        <f t="shared" si="3"/>
        <v>1.3667069718079636</v>
      </c>
    </row>
    <row r="95" spans="2:5" x14ac:dyDescent="0.3">
      <c r="B95">
        <f>lns!C8</f>
        <v>0.61772834960612277</v>
      </c>
      <c r="C95">
        <v>92</v>
      </c>
      <c r="D95">
        <f t="shared" si="2"/>
        <v>0.9242424242424242</v>
      </c>
      <c r="E95">
        <f t="shared" si="3"/>
        <v>1.434200159686378</v>
      </c>
    </row>
    <row r="96" spans="2:5" x14ac:dyDescent="0.3">
      <c r="B96">
        <f>lns!C15</f>
        <v>0.61873608554605397</v>
      </c>
      <c r="C96">
        <v>93</v>
      </c>
      <c r="D96">
        <f t="shared" si="2"/>
        <v>0.93434343434343436</v>
      </c>
      <c r="E96">
        <f t="shared" si="3"/>
        <v>1.5089438550380383</v>
      </c>
    </row>
    <row r="97" spans="2:5" x14ac:dyDescent="0.3">
      <c r="B97">
        <f>lns!C97</f>
        <v>0.67848521737929846</v>
      </c>
      <c r="C97">
        <v>94</v>
      </c>
      <c r="D97">
        <f t="shared" si="2"/>
        <v>0.94444444444444442</v>
      </c>
      <c r="E97">
        <f t="shared" si="3"/>
        <v>1.59321881802305</v>
      </c>
    </row>
    <row r="98" spans="2:5" x14ac:dyDescent="0.3">
      <c r="B98">
        <f>lns!C6</f>
        <v>0.70430470325582228</v>
      </c>
      <c r="C98">
        <v>95</v>
      </c>
      <c r="D98">
        <f t="shared" si="2"/>
        <v>0.95454545454545459</v>
      </c>
      <c r="E98">
        <f t="shared" si="3"/>
        <v>1.6906216295848984</v>
      </c>
    </row>
    <row r="99" spans="2:5" x14ac:dyDescent="0.3">
      <c r="B99">
        <f>lns!C64</f>
        <v>0.7167318625486403</v>
      </c>
      <c r="C99">
        <v>96</v>
      </c>
      <c r="D99">
        <f t="shared" si="2"/>
        <v>0.96464646464646464</v>
      </c>
      <c r="E99">
        <f t="shared" si="3"/>
        <v>1.807354196799112</v>
      </c>
    </row>
    <row r="100" spans="2:5" x14ac:dyDescent="0.3">
      <c r="B100">
        <f>lns!C10</f>
        <v>0.78093367373605982</v>
      </c>
      <c r="C100">
        <v>97</v>
      </c>
      <c r="D100">
        <f t="shared" si="2"/>
        <v>0.9747474747474747</v>
      </c>
      <c r="E100">
        <f t="shared" si="3"/>
        <v>1.9556614355881674</v>
      </c>
    </row>
    <row r="101" spans="2:5" x14ac:dyDescent="0.3">
      <c r="B101">
        <f>lns!C85</f>
        <v>0.82940734669322425</v>
      </c>
      <c r="C101">
        <v>98</v>
      </c>
      <c r="D101">
        <f t="shared" si="2"/>
        <v>0.98484848484848486</v>
      </c>
      <c r="E101">
        <f t="shared" si="3"/>
        <v>2.166106752892329</v>
      </c>
    </row>
    <row r="102" spans="2:5" x14ac:dyDescent="0.3">
      <c r="B102">
        <f>lns!C9</f>
        <v>0.88961405232400814</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D20E-E8AE-46ED-A483-B994FF50003C}">
  <dimension ref="B3:E102"/>
  <sheetViews>
    <sheetView workbookViewId="0">
      <selection activeCell="L2" sqref="L2"/>
    </sheetView>
  </sheetViews>
  <sheetFormatPr defaultRowHeight="14.4" x14ac:dyDescent="0.3"/>
  <cols>
    <col min="2" max="2" width="16.5546875" customWidth="1"/>
    <col min="4" max="4" width="15" customWidth="1"/>
    <col min="5" max="5" width="17.6640625" customWidth="1"/>
  </cols>
  <sheetData>
    <row r="3" spans="2:5" x14ac:dyDescent="0.3">
      <c r="B3" t="s">
        <v>18</v>
      </c>
      <c r="C3" t="s">
        <v>14</v>
      </c>
      <c r="D3" t="s">
        <v>15</v>
      </c>
      <c r="E3" t="s">
        <v>16</v>
      </c>
    </row>
    <row r="4" spans="2:5" x14ac:dyDescent="0.3">
      <c r="B4">
        <f>lns!D21</f>
        <v>-1.0958840137969508</v>
      </c>
      <c r="C4">
        <v>1</v>
      </c>
      <c r="D4">
        <f>(C4-0.5)/99</f>
        <v>5.0505050505050509E-3</v>
      </c>
      <c r="E4">
        <f>NORMSINV(D4)</f>
        <v>-2.5723521109428895</v>
      </c>
    </row>
    <row r="5" spans="2:5" x14ac:dyDescent="0.3">
      <c r="B5">
        <f>lns!D41</f>
        <v>-1.0421119246287798</v>
      </c>
      <c r="C5">
        <v>2</v>
      </c>
      <c r="D5">
        <f>(C5-0.5)/99</f>
        <v>1.5151515151515152E-2</v>
      </c>
      <c r="E5">
        <f>NORMSINV(D5)</f>
        <v>-2.1661067528923286</v>
      </c>
    </row>
    <row r="6" spans="2:5" x14ac:dyDescent="0.3">
      <c r="B6">
        <f>lns!D42</f>
        <v>-0.93865904773616338</v>
      </c>
      <c r="C6">
        <v>3</v>
      </c>
      <c r="D6">
        <f t="shared" ref="D6:D69" si="0">(C6-0.5)/99</f>
        <v>2.5252525252525252E-2</v>
      </c>
      <c r="E6">
        <f t="shared" ref="E6:E69" si="1">NORMSINV(D6)</f>
        <v>-1.9556614355881679</v>
      </c>
    </row>
    <row r="7" spans="2:5" x14ac:dyDescent="0.3">
      <c r="B7">
        <f>lns!D94</f>
        <v>-0.7846793062071703</v>
      </c>
      <c r="C7">
        <v>4</v>
      </c>
      <c r="D7">
        <f t="shared" si="0"/>
        <v>3.5353535353535352E-2</v>
      </c>
      <c r="E7">
        <f t="shared" si="1"/>
        <v>-1.807354196799112</v>
      </c>
    </row>
    <row r="8" spans="2:5" x14ac:dyDescent="0.3">
      <c r="B8">
        <f>lns!D29</f>
        <v>-0.74963922823585627</v>
      </c>
      <c r="C8">
        <v>5</v>
      </c>
      <c r="D8">
        <f t="shared" si="0"/>
        <v>4.5454545454545456E-2</v>
      </c>
      <c r="E8">
        <f t="shared" si="1"/>
        <v>-1.6906216295848977</v>
      </c>
    </row>
    <row r="9" spans="2:5" x14ac:dyDescent="0.3">
      <c r="B9">
        <f>lns!D31</f>
        <v>-0.72365174989822945</v>
      </c>
      <c r="C9">
        <v>6</v>
      </c>
      <c r="D9">
        <f t="shared" si="0"/>
        <v>5.5555555555555552E-2</v>
      </c>
      <c r="E9">
        <f t="shared" si="1"/>
        <v>-1.5932188180230502</v>
      </c>
    </row>
    <row r="10" spans="2:5" x14ac:dyDescent="0.3">
      <c r="B10">
        <f>lns!D26</f>
        <v>-0.66248995268256894</v>
      </c>
      <c r="C10">
        <v>7</v>
      </c>
      <c r="D10">
        <f t="shared" si="0"/>
        <v>6.5656565656565663E-2</v>
      </c>
      <c r="E10">
        <f t="shared" si="1"/>
        <v>-1.5089438550380374</v>
      </c>
    </row>
    <row r="11" spans="2:5" x14ac:dyDescent="0.3">
      <c r="B11">
        <f>lns!D40</f>
        <v>-0.61253355896570305</v>
      </c>
      <c r="C11">
        <v>8</v>
      </c>
      <c r="D11">
        <f t="shared" si="0"/>
        <v>7.575757575757576E-2</v>
      </c>
      <c r="E11">
        <f t="shared" si="1"/>
        <v>-1.4342001596863787</v>
      </c>
    </row>
    <row r="12" spans="2:5" x14ac:dyDescent="0.3">
      <c r="B12">
        <f>lns!D28</f>
        <v>-0.59812067735165797</v>
      </c>
      <c r="C12">
        <v>9</v>
      </c>
      <c r="D12">
        <f t="shared" si="0"/>
        <v>8.5858585858585856E-2</v>
      </c>
      <c r="E12">
        <f t="shared" si="1"/>
        <v>-1.3667069718079636</v>
      </c>
    </row>
    <row r="13" spans="2:5" x14ac:dyDescent="0.3">
      <c r="B13">
        <f>lns!D38</f>
        <v>-0.5951188800132573</v>
      </c>
      <c r="C13">
        <v>10</v>
      </c>
      <c r="D13">
        <f t="shared" si="0"/>
        <v>9.5959595959595953E-2</v>
      </c>
      <c r="E13">
        <f t="shared" si="1"/>
        <v>-1.304922637752725</v>
      </c>
    </row>
    <row r="14" spans="2:5" x14ac:dyDescent="0.3">
      <c r="B14">
        <f>lns!D49</f>
        <v>-0.58964338754528389</v>
      </c>
      <c r="C14">
        <v>11</v>
      </c>
      <c r="D14">
        <f t="shared" si="0"/>
        <v>0.10606060606060606</v>
      </c>
      <c r="E14">
        <f t="shared" si="1"/>
        <v>-1.2477538553513243</v>
      </c>
    </row>
    <row r="15" spans="2:5" x14ac:dyDescent="0.3">
      <c r="B15">
        <f>lns!D35</f>
        <v>-0.5697673915425927</v>
      </c>
      <c r="C15">
        <v>12</v>
      </c>
      <c r="D15">
        <f t="shared" si="0"/>
        <v>0.11616161616161616</v>
      </c>
      <c r="E15">
        <f t="shared" si="1"/>
        <v>-1.1943956635681565</v>
      </c>
    </row>
    <row r="16" spans="2:5" x14ac:dyDescent="0.3">
      <c r="B16">
        <f>lns!D30</f>
        <v>-0.56595785640403984</v>
      </c>
      <c r="C16">
        <v>13</v>
      </c>
      <c r="D16">
        <f t="shared" si="0"/>
        <v>0.12626262626262627</v>
      </c>
      <c r="E16">
        <f t="shared" si="1"/>
        <v>-1.1442372651002066</v>
      </c>
    </row>
    <row r="17" spans="2:5" x14ac:dyDescent="0.3">
      <c r="B17">
        <f>lns!D54</f>
        <v>-0.56505480259512841</v>
      </c>
      <c r="C17">
        <v>14</v>
      </c>
      <c r="D17">
        <f t="shared" si="0"/>
        <v>0.13636363636363635</v>
      </c>
      <c r="E17">
        <f t="shared" si="1"/>
        <v>-1.096803562093513</v>
      </c>
    </row>
    <row r="18" spans="2:5" x14ac:dyDescent="0.3">
      <c r="B18">
        <f>lns!D72</f>
        <v>-0.53757351365919614</v>
      </c>
      <c r="C18">
        <v>15</v>
      </c>
      <c r="D18">
        <f t="shared" si="0"/>
        <v>0.14646464646464646</v>
      </c>
      <c r="E18">
        <f t="shared" si="1"/>
        <v>-1.0517172529984806</v>
      </c>
    </row>
    <row r="19" spans="2:5" x14ac:dyDescent="0.3">
      <c r="B19">
        <f>lns!D44</f>
        <v>-0.53120011454492722</v>
      </c>
      <c r="C19">
        <v>16</v>
      </c>
      <c r="D19">
        <f t="shared" si="0"/>
        <v>0.15656565656565657</v>
      </c>
      <c r="E19">
        <f t="shared" si="1"/>
        <v>-1.0086733576467986</v>
      </c>
    </row>
    <row r="20" spans="2:5" x14ac:dyDescent="0.3">
      <c r="B20">
        <f>lns!D20</f>
        <v>-0.53012737652076902</v>
      </c>
      <c r="C20">
        <v>17</v>
      </c>
      <c r="D20">
        <f t="shared" si="0"/>
        <v>0.16666666666666666</v>
      </c>
      <c r="E20">
        <f t="shared" si="1"/>
        <v>-0.96742156610170071</v>
      </c>
    </row>
    <row r="21" spans="2:5" x14ac:dyDescent="0.3">
      <c r="B21">
        <f>lns!D70</f>
        <v>-0.52713625518290097</v>
      </c>
      <c r="C21">
        <v>18</v>
      </c>
      <c r="D21">
        <f t="shared" si="0"/>
        <v>0.17676767676767677</v>
      </c>
      <c r="E21">
        <f t="shared" si="1"/>
        <v>-0.92775368535742475</v>
      </c>
    </row>
    <row r="22" spans="2:5" x14ac:dyDescent="0.3">
      <c r="B22">
        <f>lns!D22</f>
        <v>-0.51748273323028715</v>
      </c>
      <c r="C22">
        <v>19</v>
      </c>
      <c r="D22">
        <f t="shared" si="0"/>
        <v>0.18686868686868688</v>
      </c>
      <c r="E22">
        <f t="shared" si="1"/>
        <v>-0.88949450753063364</v>
      </c>
    </row>
    <row r="23" spans="2:5" x14ac:dyDescent="0.3">
      <c r="B23">
        <f>lns!D69</f>
        <v>-0.51259886169015012</v>
      </c>
      <c r="C23">
        <v>20</v>
      </c>
      <c r="D23">
        <f t="shared" si="0"/>
        <v>0.19696969696969696</v>
      </c>
      <c r="E23">
        <f t="shared" si="1"/>
        <v>-0.85249503427469364</v>
      </c>
    </row>
    <row r="24" spans="2:5" x14ac:dyDescent="0.3">
      <c r="B24">
        <f>lns!D36</f>
        <v>-0.49651681807977804</v>
      </c>
      <c r="C24">
        <v>21</v>
      </c>
      <c r="D24">
        <f t="shared" si="0"/>
        <v>0.20707070707070707</v>
      </c>
      <c r="E24">
        <f t="shared" si="1"/>
        <v>-0.81662736084860543</v>
      </c>
    </row>
    <row r="25" spans="2:5" x14ac:dyDescent="0.3">
      <c r="B25">
        <f>lns!D62</f>
        <v>-0.48324450400522617</v>
      </c>
      <c r="C25">
        <v>22</v>
      </c>
      <c r="D25">
        <f t="shared" si="0"/>
        <v>0.21717171717171718</v>
      </c>
      <c r="E25">
        <f t="shared" si="1"/>
        <v>-0.78178075276507197</v>
      </c>
    </row>
    <row r="26" spans="2:5" x14ac:dyDescent="0.3">
      <c r="B26">
        <f>lns!D71</f>
        <v>-0.4675298914595703</v>
      </c>
      <c r="C26">
        <v>23</v>
      </c>
      <c r="D26">
        <f t="shared" si="0"/>
        <v>0.22727272727272727</v>
      </c>
      <c r="E26">
        <f t="shared" si="1"/>
        <v>-0.74785859476330196</v>
      </c>
    </row>
    <row r="27" spans="2:5" x14ac:dyDescent="0.3">
      <c r="B27">
        <f>lns!D18</f>
        <v>-0.42777206863070505</v>
      </c>
      <c r="C27">
        <v>24</v>
      </c>
      <c r="D27">
        <f t="shared" si="0"/>
        <v>0.23737373737373738</v>
      </c>
      <c r="E27">
        <f t="shared" si="1"/>
        <v>-0.71477598810315091</v>
      </c>
    </row>
    <row r="28" spans="2:5" x14ac:dyDescent="0.3">
      <c r="B28">
        <f>lns!D53</f>
        <v>-0.42246071876438174</v>
      </c>
      <c r="C28">
        <v>25</v>
      </c>
      <c r="D28">
        <f t="shared" si="0"/>
        <v>0.24747474747474749</v>
      </c>
      <c r="E28">
        <f t="shared" si="1"/>
        <v>-0.68245783666933024</v>
      </c>
    </row>
    <row r="29" spans="2:5" x14ac:dyDescent="0.3">
      <c r="B29">
        <f>lns!D4</f>
        <v>-0.41574274251929855</v>
      </c>
      <c r="C29">
        <v>26</v>
      </c>
      <c r="D29">
        <f t="shared" si="0"/>
        <v>0.25757575757575757</v>
      </c>
      <c r="E29">
        <f t="shared" si="1"/>
        <v>-0.65083730644447746</v>
      </c>
    </row>
    <row r="30" spans="2:5" x14ac:dyDescent="0.3">
      <c r="B30">
        <f>lns!D19</f>
        <v>-0.40490526484965034</v>
      </c>
      <c r="C30">
        <v>27</v>
      </c>
      <c r="D30">
        <f t="shared" si="0"/>
        <v>0.26767676767676768</v>
      </c>
      <c r="E30">
        <f t="shared" si="1"/>
        <v>-0.61985457356549389</v>
      </c>
    </row>
    <row r="31" spans="2:5" x14ac:dyDescent="0.3">
      <c r="B31">
        <f>lns!D45</f>
        <v>-0.39989117139622316</v>
      </c>
      <c r="C31">
        <v>28</v>
      </c>
      <c r="D31">
        <f t="shared" si="0"/>
        <v>0.27777777777777779</v>
      </c>
      <c r="E31">
        <f t="shared" si="1"/>
        <v>-0.58945579784977842</v>
      </c>
    </row>
    <row r="32" spans="2:5" x14ac:dyDescent="0.3">
      <c r="B32">
        <f>lns!D83</f>
        <v>-0.36865065305785333</v>
      </c>
      <c r="C32">
        <v>29</v>
      </c>
      <c r="D32">
        <f t="shared" si="0"/>
        <v>0.2878787878787879</v>
      </c>
      <c r="E32">
        <f t="shared" si="1"/>
        <v>-0.5595922742274323</v>
      </c>
    </row>
    <row r="33" spans="2:5" x14ac:dyDescent="0.3">
      <c r="B33">
        <f>lns!D37</f>
        <v>-0.36817221354205443</v>
      </c>
      <c r="C33">
        <v>30</v>
      </c>
      <c r="D33">
        <f t="shared" si="0"/>
        <v>0.29797979797979796</v>
      </c>
      <c r="E33">
        <f t="shared" si="1"/>
        <v>-0.53021972582422794</v>
      </c>
    </row>
    <row r="34" spans="2:5" x14ac:dyDescent="0.3">
      <c r="B34">
        <f>lns!D43</f>
        <v>-0.35284087481286985</v>
      </c>
      <c r="C34">
        <v>31</v>
      </c>
      <c r="D34">
        <f t="shared" si="0"/>
        <v>0.30808080808080807</v>
      </c>
      <c r="E34">
        <f t="shared" si="1"/>
        <v>-0.50129771076772867</v>
      </c>
    </row>
    <row r="35" spans="2:5" x14ac:dyDescent="0.3">
      <c r="B35">
        <f>lns!D46</f>
        <v>-0.35091300441237433</v>
      </c>
      <c r="C35">
        <v>32</v>
      </c>
      <c r="D35">
        <f t="shared" si="0"/>
        <v>0.31818181818181818</v>
      </c>
      <c r="E35">
        <f t="shared" si="1"/>
        <v>-0.47278912099226744</v>
      </c>
    </row>
    <row r="36" spans="2:5" x14ac:dyDescent="0.3">
      <c r="B36">
        <f>lns!D90</f>
        <v>-0.33973073978094925</v>
      </c>
      <c r="C36">
        <v>33</v>
      </c>
      <c r="D36">
        <f t="shared" si="0"/>
        <v>0.32828282828282829</v>
      </c>
      <c r="E36">
        <f t="shared" si="1"/>
        <v>-0.4446597559886718</v>
      </c>
    </row>
    <row r="37" spans="2:5" x14ac:dyDescent="0.3">
      <c r="B37">
        <f>lns!D48</f>
        <v>-0.33528673960057176</v>
      </c>
      <c r="C37">
        <v>34</v>
      </c>
      <c r="D37">
        <f t="shared" si="0"/>
        <v>0.3383838383838384</v>
      </c>
      <c r="E37">
        <f t="shared" si="1"/>
        <v>-0.41687795799540722</v>
      </c>
    </row>
    <row r="38" spans="2:5" x14ac:dyDescent="0.3">
      <c r="B38">
        <f>lns!D89</f>
        <v>-0.30942201513214379</v>
      </c>
      <c r="C38">
        <v>35</v>
      </c>
      <c r="D38">
        <f t="shared" si="0"/>
        <v>0.34848484848484851</v>
      </c>
      <c r="E38">
        <f t="shared" si="1"/>
        <v>-0.38941429785214438</v>
      </c>
    </row>
    <row r="39" spans="2:5" x14ac:dyDescent="0.3">
      <c r="B39">
        <f>lns!D91</f>
        <v>-0.30082810412179617</v>
      </c>
      <c r="C39">
        <v>36</v>
      </c>
      <c r="D39">
        <f t="shared" si="0"/>
        <v>0.35858585858585856</v>
      </c>
      <c r="E39">
        <f t="shared" si="1"/>
        <v>-0.3622413028447366</v>
      </c>
    </row>
    <row r="40" spans="2:5" x14ac:dyDescent="0.3">
      <c r="B40">
        <f>lns!D5</f>
        <v>-0.28620050385009427</v>
      </c>
      <c r="C40">
        <v>37</v>
      </c>
      <c r="D40">
        <f t="shared" si="0"/>
        <v>0.36868686868686867</v>
      </c>
      <c r="E40">
        <f t="shared" si="1"/>
        <v>-0.33533321951439826</v>
      </c>
    </row>
    <row r="41" spans="2:5" x14ac:dyDescent="0.3">
      <c r="B41">
        <f>lns!D27</f>
        <v>-0.2843861765554283</v>
      </c>
      <c r="C41">
        <v>38</v>
      </c>
      <c r="D41">
        <f t="shared" si="0"/>
        <v>0.37878787878787878</v>
      </c>
      <c r="E41">
        <f t="shared" si="1"/>
        <v>-0.30866580569493407</v>
      </c>
    </row>
    <row r="42" spans="2:5" x14ac:dyDescent="0.3">
      <c r="B42">
        <f>lns!D73</f>
        <v>-0.27432237856916203</v>
      </c>
      <c r="C42">
        <v>39</v>
      </c>
      <c r="D42">
        <f t="shared" si="0"/>
        <v>0.3888888888888889</v>
      </c>
      <c r="E42">
        <f t="shared" si="1"/>
        <v>-0.28221614706250814</v>
      </c>
    </row>
    <row r="43" spans="2:5" x14ac:dyDescent="0.3">
      <c r="B43">
        <f>lns!D82</f>
        <v>-0.2689165841055054</v>
      </c>
      <c r="C43">
        <v>40</v>
      </c>
      <c r="D43">
        <f t="shared" si="0"/>
        <v>0.39898989898989901</v>
      </c>
      <c r="E43">
        <f t="shared" si="1"/>
        <v>-0.25596249429406465</v>
      </c>
    </row>
    <row r="44" spans="2:5" x14ac:dyDescent="0.3">
      <c r="B44">
        <f>lns!D81</f>
        <v>-0.26654569447373089</v>
      </c>
      <c r="C44">
        <v>41</v>
      </c>
      <c r="D44">
        <f t="shared" si="0"/>
        <v>0.40909090909090912</v>
      </c>
      <c r="E44">
        <f t="shared" si="1"/>
        <v>-0.22988411757923208</v>
      </c>
    </row>
    <row r="45" spans="2:5" x14ac:dyDescent="0.3">
      <c r="B45">
        <f>lns!D56</f>
        <v>-0.26599233797405092</v>
      </c>
      <c r="C45">
        <v>42</v>
      </c>
      <c r="D45">
        <f t="shared" si="0"/>
        <v>0.41919191919191917</v>
      </c>
      <c r="E45">
        <f t="shared" si="1"/>
        <v>-0.20396117575131437</v>
      </c>
    </row>
    <row r="46" spans="2:5" x14ac:dyDescent="0.3">
      <c r="B46">
        <f>lns!D66</f>
        <v>-0.26223007347150556</v>
      </c>
      <c r="C46">
        <v>43</v>
      </c>
      <c r="D46">
        <f t="shared" si="0"/>
        <v>0.42929292929292928</v>
      </c>
      <c r="E46">
        <f t="shared" si="1"/>
        <v>-0.17817459772241043</v>
      </c>
    </row>
    <row r="47" spans="2:5" x14ac:dyDescent="0.3">
      <c r="B47">
        <f>lns!D60</f>
        <v>-0.25842363894100301</v>
      </c>
      <c r="C47">
        <v>44</v>
      </c>
      <c r="D47">
        <f t="shared" si="0"/>
        <v>0.43939393939393939</v>
      </c>
      <c r="E47">
        <f t="shared" si="1"/>
        <v>-0.15250597424624437</v>
      </c>
    </row>
    <row r="48" spans="2:5" x14ac:dyDescent="0.3">
      <c r="B48">
        <f>lns!D13</f>
        <v>-0.21781775855886204</v>
      </c>
      <c r="C48">
        <v>45</v>
      </c>
      <c r="D48">
        <f t="shared" si="0"/>
        <v>0.4494949494949495</v>
      </c>
      <c r="E48">
        <f t="shared" si="1"/>
        <v>-0.12693745830564304</v>
      </c>
    </row>
    <row r="49" spans="2:5" x14ac:dyDescent="0.3">
      <c r="B49">
        <f>lns!D33</f>
        <v>-0.21774564625261708</v>
      </c>
      <c r="C49">
        <v>46</v>
      </c>
      <c r="D49">
        <f t="shared" si="0"/>
        <v>0.45959595959595961</v>
      </c>
      <c r="E49">
        <f t="shared" si="1"/>
        <v>-0.1014516726419474</v>
      </c>
    </row>
    <row r="50" spans="2:5" x14ac:dyDescent="0.3">
      <c r="B50">
        <f>lns!D24</f>
        <v>-0.21638022425995129</v>
      </c>
      <c r="C50">
        <v>47</v>
      </c>
      <c r="D50">
        <f t="shared" si="0"/>
        <v>0.46969696969696972</v>
      </c>
      <c r="E50">
        <f t="shared" si="1"/>
        <v>-7.60316231203884E-2</v>
      </c>
    </row>
    <row r="51" spans="2:5" x14ac:dyDescent="0.3">
      <c r="B51">
        <f>lns!D61</f>
        <v>-0.20815395869744852</v>
      </c>
      <c r="C51">
        <v>48</v>
      </c>
      <c r="D51">
        <f t="shared" si="0"/>
        <v>0.47979797979797978</v>
      </c>
      <c r="E51">
        <f t="shared" si="1"/>
        <v>-5.0660616765876576E-2</v>
      </c>
    </row>
    <row r="52" spans="2:5" x14ac:dyDescent="0.3">
      <c r="B52">
        <f>lns!D25</f>
        <v>-0.19258888588575568</v>
      </c>
      <c r="C52">
        <v>49</v>
      </c>
      <c r="D52">
        <f t="shared" si="0"/>
        <v>0.48989898989898989</v>
      </c>
      <c r="E52">
        <f t="shared" si="1"/>
        <v>-2.5322183413346296E-2</v>
      </c>
    </row>
    <row r="53" spans="2:5" x14ac:dyDescent="0.3">
      <c r="B53">
        <f>lns!D93</f>
        <v>-0.19115929480813881</v>
      </c>
      <c r="C53">
        <v>50</v>
      </c>
      <c r="D53">
        <f t="shared" si="0"/>
        <v>0.5</v>
      </c>
      <c r="E53">
        <f t="shared" si="1"/>
        <v>0</v>
      </c>
    </row>
    <row r="54" spans="2:5" x14ac:dyDescent="0.3">
      <c r="B54">
        <f>lns!D96</f>
        <v>-0.18032115892456921</v>
      </c>
      <c r="C54">
        <v>51</v>
      </c>
      <c r="D54">
        <f t="shared" si="0"/>
        <v>0.51010101010101006</v>
      </c>
      <c r="E54">
        <f t="shared" si="1"/>
        <v>2.5322183413346164E-2</v>
      </c>
    </row>
    <row r="55" spans="2:5" x14ac:dyDescent="0.3">
      <c r="B55">
        <f>lns!D32</f>
        <v>-0.17494046420269982</v>
      </c>
      <c r="C55">
        <v>52</v>
      </c>
      <c r="D55">
        <f t="shared" si="0"/>
        <v>0.52020202020202022</v>
      </c>
      <c r="E55">
        <f t="shared" si="1"/>
        <v>5.0660616765876576E-2</v>
      </c>
    </row>
    <row r="56" spans="2:5" x14ac:dyDescent="0.3">
      <c r="B56">
        <f>lns!D52</f>
        <v>-0.15773158361716896</v>
      </c>
      <c r="C56">
        <v>53</v>
      </c>
      <c r="D56">
        <f t="shared" si="0"/>
        <v>0.53030303030303028</v>
      </c>
      <c r="E56">
        <f t="shared" si="1"/>
        <v>7.60316231203884E-2</v>
      </c>
    </row>
    <row r="57" spans="2:5" x14ac:dyDescent="0.3">
      <c r="B57">
        <f>lns!D55</f>
        <v>-0.15541130741776335</v>
      </c>
      <c r="C57">
        <v>54</v>
      </c>
      <c r="D57">
        <f t="shared" si="0"/>
        <v>0.54040404040404044</v>
      </c>
      <c r="E57">
        <f t="shared" si="1"/>
        <v>0.10145167264194754</v>
      </c>
    </row>
    <row r="58" spans="2:5" x14ac:dyDescent="0.3">
      <c r="B58">
        <f>lns!D98</f>
        <v>-0.13233325353705008</v>
      </c>
      <c r="C58">
        <v>55</v>
      </c>
      <c r="D58">
        <f t="shared" si="0"/>
        <v>0.5505050505050505</v>
      </c>
      <c r="E58">
        <f t="shared" si="1"/>
        <v>0.12693745830564304</v>
      </c>
    </row>
    <row r="59" spans="2:5" x14ac:dyDescent="0.3">
      <c r="B59">
        <f>lns!D63</f>
        <v>-0.1248050070923102</v>
      </c>
      <c r="C59">
        <v>56</v>
      </c>
      <c r="D59">
        <f t="shared" si="0"/>
        <v>0.56060606060606055</v>
      </c>
      <c r="E59">
        <f t="shared" si="1"/>
        <v>0.15250597424624424</v>
      </c>
    </row>
    <row r="60" spans="2:5" x14ac:dyDescent="0.3">
      <c r="B60">
        <f>lns!D100</f>
        <v>-0.10910083527354957</v>
      </c>
      <c r="C60">
        <v>57</v>
      </c>
      <c r="D60">
        <f t="shared" si="0"/>
        <v>0.57070707070707072</v>
      </c>
      <c r="E60">
        <f t="shared" si="1"/>
        <v>0.17817459772241043</v>
      </c>
    </row>
    <row r="61" spans="2:5" x14ac:dyDescent="0.3">
      <c r="B61">
        <f>lns!D34</f>
        <v>-8.6893202154368854E-2</v>
      </c>
      <c r="C61">
        <v>58</v>
      </c>
      <c r="D61">
        <f t="shared" si="0"/>
        <v>0.58080808080808077</v>
      </c>
      <c r="E61">
        <f t="shared" si="1"/>
        <v>0.2039611757513142</v>
      </c>
    </row>
    <row r="62" spans="2:5" x14ac:dyDescent="0.3">
      <c r="B62">
        <f>lns!D68</f>
        <v>-8.4155821607828016E-2</v>
      </c>
      <c r="C62">
        <v>59</v>
      </c>
      <c r="D62">
        <f t="shared" si="0"/>
        <v>0.59090909090909094</v>
      </c>
      <c r="E62">
        <f t="shared" si="1"/>
        <v>0.22988411757923222</v>
      </c>
    </row>
    <row r="63" spans="2:5" x14ac:dyDescent="0.3">
      <c r="B63">
        <f>lns!D58</f>
        <v>-7.9719843133235282E-2</v>
      </c>
      <c r="C63">
        <v>60</v>
      </c>
      <c r="D63">
        <f t="shared" si="0"/>
        <v>0.60101010101010099</v>
      </c>
      <c r="E63">
        <f t="shared" si="1"/>
        <v>0.25596249429406465</v>
      </c>
    </row>
    <row r="64" spans="2:5" x14ac:dyDescent="0.3">
      <c r="B64">
        <f>lns!D84</f>
        <v>-6.966095174573543E-2</v>
      </c>
      <c r="C64">
        <v>61</v>
      </c>
      <c r="D64">
        <f t="shared" si="0"/>
        <v>0.61111111111111116</v>
      </c>
      <c r="E64">
        <f t="shared" si="1"/>
        <v>0.28221614706250825</v>
      </c>
    </row>
    <row r="65" spans="2:5" x14ac:dyDescent="0.3">
      <c r="B65">
        <f>lns!D12</f>
        <v>-6.4419061606478423E-2</v>
      </c>
      <c r="C65">
        <v>62</v>
      </c>
      <c r="D65">
        <f t="shared" si="0"/>
        <v>0.62121212121212122</v>
      </c>
      <c r="E65">
        <f t="shared" si="1"/>
        <v>0.30866580569493407</v>
      </c>
    </row>
    <row r="66" spans="2:5" x14ac:dyDescent="0.3">
      <c r="B66">
        <f>lns!D65</f>
        <v>-6.1635007083759054E-2</v>
      </c>
      <c r="C66">
        <v>63</v>
      </c>
      <c r="D66">
        <f t="shared" si="0"/>
        <v>0.63131313131313127</v>
      </c>
      <c r="E66">
        <f t="shared" si="1"/>
        <v>0.3353332195143981</v>
      </c>
    </row>
    <row r="67" spans="2:5" x14ac:dyDescent="0.3">
      <c r="B67">
        <f>lns!D101</f>
        <v>-5.2515093111301051E-2</v>
      </c>
      <c r="C67">
        <v>64</v>
      </c>
      <c r="D67">
        <f t="shared" si="0"/>
        <v>0.64141414141414144</v>
      </c>
      <c r="E67">
        <f t="shared" si="1"/>
        <v>0.3622413028447366</v>
      </c>
    </row>
    <row r="68" spans="2:5" x14ac:dyDescent="0.3">
      <c r="B68">
        <f>lns!D92</f>
        <v>-1.3413560917421635E-2</v>
      </c>
      <c r="C68">
        <v>65</v>
      </c>
      <c r="D68">
        <f t="shared" si="0"/>
        <v>0.65151515151515149</v>
      </c>
      <c r="E68">
        <f t="shared" si="1"/>
        <v>0.38941429785214438</v>
      </c>
    </row>
    <row r="69" spans="2:5" x14ac:dyDescent="0.3">
      <c r="B69">
        <f>lns!D39</f>
        <v>2.4868206928880785E-2</v>
      </c>
      <c r="C69">
        <v>66</v>
      </c>
      <c r="D69">
        <f t="shared" si="0"/>
        <v>0.66161616161616166</v>
      </c>
      <c r="E69">
        <f t="shared" si="1"/>
        <v>0.41687795799540739</v>
      </c>
    </row>
    <row r="70" spans="2:5" x14ac:dyDescent="0.3">
      <c r="B70">
        <f>lns!D50</f>
        <v>2.7838877416499722E-2</v>
      </c>
      <c r="C70">
        <v>67</v>
      </c>
      <c r="D70">
        <f t="shared" ref="D70:D102" si="2">(C70-0.5)/99</f>
        <v>0.67171717171717171</v>
      </c>
      <c r="E70">
        <f t="shared" ref="E70:E102" si="3">NORMSINV(D70)</f>
        <v>0.4446597559886718</v>
      </c>
    </row>
    <row r="71" spans="2:5" x14ac:dyDescent="0.3">
      <c r="B71">
        <f>lns!D47</f>
        <v>4.9504194903089091E-2</v>
      </c>
      <c r="C71">
        <v>68</v>
      </c>
      <c r="D71">
        <f t="shared" si="2"/>
        <v>0.68181818181818177</v>
      </c>
      <c r="E71">
        <f t="shared" si="3"/>
        <v>0.47278912099226728</v>
      </c>
    </row>
    <row r="72" spans="2:5" x14ac:dyDescent="0.3">
      <c r="B72">
        <f>lns!D74</f>
        <v>5.1329793721441738E-2</v>
      </c>
      <c r="C72">
        <v>69</v>
      </c>
      <c r="D72">
        <f t="shared" si="2"/>
        <v>0.69191919191919193</v>
      </c>
      <c r="E72">
        <f t="shared" si="3"/>
        <v>0.50129771076772867</v>
      </c>
    </row>
    <row r="73" spans="2:5" x14ac:dyDescent="0.3">
      <c r="B73">
        <f>lns!D95</f>
        <v>6.065285671194405E-2</v>
      </c>
      <c r="C73">
        <v>70</v>
      </c>
      <c r="D73">
        <f t="shared" si="2"/>
        <v>0.70202020202020199</v>
      </c>
      <c r="E73">
        <f t="shared" si="3"/>
        <v>0.53021972582422772</v>
      </c>
    </row>
    <row r="74" spans="2:5" x14ac:dyDescent="0.3">
      <c r="B74">
        <f>lns!D76</f>
        <v>7.1948499312584041E-2</v>
      </c>
      <c r="C74">
        <v>71</v>
      </c>
      <c r="D74">
        <f t="shared" si="2"/>
        <v>0.71212121212121215</v>
      </c>
      <c r="E74">
        <f t="shared" si="3"/>
        <v>0.55959227422743252</v>
      </c>
    </row>
    <row r="75" spans="2:5" x14ac:dyDescent="0.3">
      <c r="B75">
        <f>lns!D67</f>
        <v>9.7353545255909918E-2</v>
      </c>
      <c r="C75">
        <v>72</v>
      </c>
      <c r="D75">
        <f t="shared" si="2"/>
        <v>0.72222222222222221</v>
      </c>
      <c r="E75">
        <f t="shared" si="3"/>
        <v>0.58945579784977842</v>
      </c>
    </row>
    <row r="76" spans="2:5" x14ac:dyDescent="0.3">
      <c r="B76">
        <f>lns!D87</f>
        <v>0.10426992117579686</v>
      </c>
      <c r="C76">
        <v>73</v>
      </c>
      <c r="D76">
        <f t="shared" si="2"/>
        <v>0.73232323232323238</v>
      </c>
      <c r="E76">
        <f t="shared" si="3"/>
        <v>0.61985457356549423</v>
      </c>
    </row>
    <row r="77" spans="2:5" x14ac:dyDescent="0.3">
      <c r="B77">
        <f>lns!D80</f>
        <v>0.11589681341271334</v>
      </c>
      <c r="C77">
        <v>74</v>
      </c>
      <c r="D77">
        <f t="shared" si="2"/>
        <v>0.74242424242424243</v>
      </c>
      <c r="E77">
        <f t="shared" si="3"/>
        <v>0.65083730644447746</v>
      </c>
    </row>
    <row r="78" spans="2:5" x14ac:dyDescent="0.3">
      <c r="B78">
        <f>lns!D17</f>
        <v>0.12387113219686051</v>
      </c>
      <c r="C78">
        <v>75</v>
      </c>
      <c r="D78">
        <f t="shared" si="2"/>
        <v>0.75252525252525249</v>
      </c>
      <c r="E78">
        <f t="shared" si="3"/>
        <v>0.68245783666933024</v>
      </c>
    </row>
    <row r="79" spans="2:5" x14ac:dyDescent="0.3">
      <c r="B79">
        <f>lns!D59</f>
        <v>0.13321884378622278</v>
      </c>
      <c r="C79">
        <v>76</v>
      </c>
      <c r="D79">
        <f t="shared" si="2"/>
        <v>0.76262626262626265</v>
      </c>
      <c r="E79">
        <f t="shared" si="3"/>
        <v>0.71477598810315091</v>
      </c>
    </row>
    <row r="80" spans="2:5" x14ac:dyDescent="0.3">
      <c r="B80">
        <f>lns!D57</f>
        <v>0.13575392097761985</v>
      </c>
      <c r="C80">
        <v>77</v>
      </c>
      <c r="D80">
        <f t="shared" si="2"/>
        <v>0.77272727272727271</v>
      </c>
      <c r="E80">
        <f t="shared" si="3"/>
        <v>0.74785859476330196</v>
      </c>
    </row>
    <row r="81" spans="2:5" x14ac:dyDescent="0.3">
      <c r="B81">
        <f>lns!D75</f>
        <v>0.1636058385980135</v>
      </c>
      <c r="C81">
        <v>78</v>
      </c>
      <c r="D81">
        <f t="shared" si="2"/>
        <v>0.78282828282828287</v>
      </c>
      <c r="E81">
        <f t="shared" si="3"/>
        <v>0.78178075276507275</v>
      </c>
    </row>
    <row r="82" spans="2:5" x14ac:dyDescent="0.3">
      <c r="B82">
        <f>lns!D11</f>
        <v>0.20039884033107513</v>
      </c>
      <c r="C82">
        <v>79</v>
      </c>
      <c r="D82">
        <f t="shared" si="2"/>
        <v>0.79292929292929293</v>
      </c>
      <c r="E82">
        <f t="shared" si="3"/>
        <v>0.81662736084860543</v>
      </c>
    </row>
    <row r="83" spans="2:5" x14ac:dyDescent="0.3">
      <c r="B83">
        <f>lns!D78</f>
        <v>0.20068524081091252</v>
      </c>
      <c r="C83">
        <v>80</v>
      </c>
      <c r="D83">
        <f t="shared" si="2"/>
        <v>0.80303030303030298</v>
      </c>
      <c r="E83">
        <f t="shared" si="3"/>
        <v>0.85249503427469353</v>
      </c>
    </row>
    <row r="84" spans="2:5" x14ac:dyDescent="0.3">
      <c r="B84">
        <f>lns!D88</f>
        <v>0.2394577481647637</v>
      </c>
      <c r="C84">
        <v>81</v>
      </c>
      <c r="D84">
        <f t="shared" si="2"/>
        <v>0.81313131313131315</v>
      </c>
      <c r="E84">
        <f t="shared" si="3"/>
        <v>0.88949450753063364</v>
      </c>
    </row>
    <row r="85" spans="2:5" x14ac:dyDescent="0.3">
      <c r="B85">
        <f>lns!D102</f>
        <v>0.24219295383134501</v>
      </c>
      <c r="C85">
        <v>82</v>
      </c>
      <c r="D85">
        <f t="shared" si="2"/>
        <v>0.8232323232323232</v>
      </c>
      <c r="E85">
        <f t="shared" si="3"/>
        <v>0.92775368535742475</v>
      </c>
    </row>
    <row r="86" spans="2:5" x14ac:dyDescent="0.3">
      <c r="B86">
        <f>lns!D51</f>
        <v>0.24231853070025075</v>
      </c>
      <c r="C86">
        <v>83</v>
      </c>
      <c r="D86">
        <f t="shared" si="2"/>
        <v>0.83333333333333337</v>
      </c>
      <c r="E86">
        <f t="shared" si="3"/>
        <v>0.96742156610170071</v>
      </c>
    </row>
    <row r="87" spans="2:5" x14ac:dyDescent="0.3">
      <c r="B87">
        <f>lns!D16</f>
        <v>0.24457622191667594</v>
      </c>
      <c r="C87">
        <v>84</v>
      </c>
      <c r="D87">
        <f t="shared" si="2"/>
        <v>0.84343434343434343</v>
      </c>
      <c r="E87">
        <f t="shared" si="3"/>
        <v>1.0086733576467986</v>
      </c>
    </row>
    <row r="88" spans="2:5" x14ac:dyDescent="0.3">
      <c r="B88">
        <f>lns!D23</f>
        <v>0.28018906989283926</v>
      </c>
      <c r="C88">
        <v>85</v>
      </c>
      <c r="D88">
        <f t="shared" si="2"/>
        <v>0.85353535353535348</v>
      </c>
      <c r="E88">
        <f t="shared" si="3"/>
        <v>1.0517172529984837</v>
      </c>
    </row>
    <row r="89" spans="2:5" x14ac:dyDescent="0.3">
      <c r="B89">
        <f>lns!D77</f>
        <v>0.3292030226455982</v>
      </c>
      <c r="C89">
        <v>86</v>
      </c>
      <c r="D89">
        <f t="shared" si="2"/>
        <v>0.86363636363636365</v>
      </c>
      <c r="E89">
        <f t="shared" si="3"/>
        <v>1.096803562093513</v>
      </c>
    </row>
    <row r="90" spans="2:5" x14ac:dyDescent="0.3">
      <c r="B90">
        <f>lns!D7</f>
        <v>0.38954573122594804</v>
      </c>
      <c r="C90">
        <v>87</v>
      </c>
      <c r="D90">
        <f t="shared" si="2"/>
        <v>0.8737373737373737</v>
      </c>
      <c r="E90">
        <f t="shared" si="3"/>
        <v>1.1442372651002066</v>
      </c>
    </row>
    <row r="91" spans="2:5" x14ac:dyDescent="0.3">
      <c r="B91">
        <f>lns!D99</f>
        <v>0.4142464391155033</v>
      </c>
      <c r="C91">
        <v>88</v>
      </c>
      <c r="D91">
        <f t="shared" si="2"/>
        <v>0.88383838383838387</v>
      </c>
      <c r="E91">
        <f t="shared" si="3"/>
        <v>1.1943956635681565</v>
      </c>
    </row>
    <row r="92" spans="2:5" x14ac:dyDescent="0.3">
      <c r="B92">
        <f>lns!D86</f>
        <v>0.44486529233503613</v>
      </c>
      <c r="C92">
        <v>89</v>
      </c>
      <c r="D92">
        <f t="shared" si="2"/>
        <v>0.89393939393939392</v>
      </c>
      <c r="E92">
        <f t="shared" si="3"/>
        <v>1.2477538553513243</v>
      </c>
    </row>
    <row r="93" spans="2:5" x14ac:dyDescent="0.3">
      <c r="B93">
        <f>lns!D15</f>
        <v>0.44844796628001871</v>
      </c>
      <c r="C93">
        <v>90</v>
      </c>
      <c r="D93">
        <f t="shared" si="2"/>
        <v>0.90404040404040409</v>
      </c>
      <c r="E93">
        <f t="shared" si="3"/>
        <v>1.3049226377527239</v>
      </c>
    </row>
    <row r="94" spans="2:5" x14ac:dyDescent="0.3">
      <c r="B94">
        <f>lns!D14</f>
        <v>0.48943854188434294</v>
      </c>
      <c r="C94">
        <v>91</v>
      </c>
      <c r="D94">
        <f t="shared" si="2"/>
        <v>0.91414141414141414</v>
      </c>
      <c r="E94">
        <f t="shared" si="3"/>
        <v>1.3667069718079636</v>
      </c>
    </row>
    <row r="95" spans="2:5" x14ac:dyDescent="0.3">
      <c r="B95">
        <f>lns!D79</f>
        <v>0.50890578204867132</v>
      </c>
      <c r="C95">
        <v>92</v>
      </c>
      <c r="D95">
        <f t="shared" si="2"/>
        <v>0.9242424242424242</v>
      </c>
      <c r="E95">
        <f t="shared" si="3"/>
        <v>1.434200159686378</v>
      </c>
    </row>
    <row r="96" spans="2:5" x14ac:dyDescent="0.3">
      <c r="B96">
        <f>lns!D8</f>
        <v>0.57009214731372826</v>
      </c>
      <c r="C96">
        <v>93</v>
      </c>
      <c r="D96">
        <f t="shared" si="2"/>
        <v>0.93434343434343436</v>
      </c>
      <c r="E96">
        <f t="shared" si="3"/>
        <v>1.5089438550380383</v>
      </c>
    </row>
    <row r="97" spans="2:5" x14ac:dyDescent="0.3">
      <c r="B97">
        <f>lns!D64</f>
        <v>0.59339314142263777</v>
      </c>
      <c r="C97">
        <v>94</v>
      </c>
      <c r="D97">
        <f t="shared" si="2"/>
        <v>0.94444444444444442</v>
      </c>
      <c r="E97">
        <f t="shared" si="3"/>
        <v>1.59321881802305</v>
      </c>
    </row>
    <row r="98" spans="2:5" x14ac:dyDescent="0.3">
      <c r="B98">
        <f>lns!D97</f>
        <v>0.67680436121977183</v>
      </c>
      <c r="C98">
        <v>95</v>
      </c>
      <c r="D98">
        <f t="shared" si="2"/>
        <v>0.95454545454545459</v>
      </c>
      <c r="E98">
        <f t="shared" si="3"/>
        <v>1.6906216295848984</v>
      </c>
    </row>
    <row r="99" spans="2:5" x14ac:dyDescent="0.3">
      <c r="B99">
        <f>lns!D85</f>
        <v>0.80906625790264386</v>
      </c>
      <c r="C99">
        <v>96</v>
      </c>
      <c r="D99">
        <f t="shared" si="2"/>
        <v>0.96464646464646464</v>
      </c>
      <c r="E99">
        <f t="shared" si="3"/>
        <v>1.807354196799112</v>
      </c>
    </row>
    <row r="100" spans="2:5" x14ac:dyDescent="0.3">
      <c r="B100">
        <f>lns!D6</f>
        <v>0.82154039532834433</v>
      </c>
      <c r="C100">
        <v>97</v>
      </c>
      <c r="D100">
        <f t="shared" si="2"/>
        <v>0.9747474747474747</v>
      </c>
      <c r="E100">
        <f t="shared" si="3"/>
        <v>1.9556614355881674</v>
      </c>
    </row>
    <row r="101" spans="2:5" x14ac:dyDescent="0.3">
      <c r="B101">
        <f>lns!D10</f>
        <v>0.84018692320926025</v>
      </c>
      <c r="C101">
        <v>98</v>
      </c>
      <c r="D101">
        <f t="shared" si="2"/>
        <v>0.98484848484848486</v>
      </c>
      <c r="E101">
        <f t="shared" si="3"/>
        <v>2.166106752892329</v>
      </c>
    </row>
    <row r="102" spans="2:5" x14ac:dyDescent="0.3">
      <c r="B102">
        <f>lns!D9</f>
        <v>0.89946191840718148</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650F-27F4-4CAC-9D56-B7E661F7F0D0}">
  <dimension ref="B3:E102"/>
  <sheetViews>
    <sheetView workbookViewId="0">
      <selection activeCell="B1" activeCellId="1" sqref="E1:E1048576 B1:B1048576"/>
    </sheetView>
  </sheetViews>
  <sheetFormatPr defaultRowHeight="14.4" x14ac:dyDescent="0.3"/>
  <cols>
    <col min="2" max="2" width="16.5546875" customWidth="1"/>
    <col min="4" max="4" width="15" customWidth="1"/>
    <col min="5" max="5" width="17.6640625" customWidth="1"/>
  </cols>
  <sheetData>
    <row r="3" spans="2:5" x14ac:dyDescent="0.3">
      <c r="B3" t="s">
        <v>19</v>
      </c>
      <c r="C3" t="s">
        <v>14</v>
      </c>
      <c r="D3" t="s">
        <v>15</v>
      </c>
      <c r="E3" t="s">
        <v>16</v>
      </c>
    </row>
    <row r="4" spans="2:5" x14ac:dyDescent="0.3">
      <c r="B4">
        <f>lns!E41</f>
        <v>-1.1022077445800837</v>
      </c>
      <c r="C4">
        <v>1</v>
      </c>
      <c r="D4">
        <f>(C4-0.5)/99</f>
        <v>5.0505050505050509E-3</v>
      </c>
      <c r="E4">
        <f>NORMSINV(D4)</f>
        <v>-2.5723521109428895</v>
      </c>
    </row>
    <row r="5" spans="2:5" x14ac:dyDescent="0.3">
      <c r="B5">
        <f>lns!E42</f>
        <v>-0.88684844127419737</v>
      </c>
      <c r="C5">
        <v>2</v>
      </c>
      <c r="D5">
        <f>(C5-0.5)/99</f>
        <v>1.5151515151515152E-2</v>
      </c>
      <c r="E5">
        <f>NORMSINV(D5)</f>
        <v>-2.1661067528923286</v>
      </c>
    </row>
    <row r="6" spans="2:5" x14ac:dyDescent="0.3">
      <c r="B6">
        <f>lns!E31</f>
        <v>-0.85370802835155857</v>
      </c>
      <c r="C6">
        <v>3</v>
      </c>
      <c r="D6">
        <f t="shared" ref="D6:D69" si="0">(C6-0.5)/99</f>
        <v>2.5252525252525252E-2</v>
      </c>
      <c r="E6">
        <f t="shared" ref="E6:E69" si="1">NORMSINV(D6)</f>
        <v>-1.9556614355881679</v>
      </c>
    </row>
    <row r="7" spans="2:5" x14ac:dyDescent="0.3">
      <c r="B7">
        <f>lns!E44</f>
        <v>-0.8050423338651127</v>
      </c>
      <c r="C7">
        <v>4</v>
      </c>
      <c r="D7">
        <f t="shared" si="0"/>
        <v>3.5353535353535352E-2</v>
      </c>
      <c r="E7">
        <f t="shared" si="1"/>
        <v>-1.807354196799112</v>
      </c>
    </row>
    <row r="8" spans="2:5" x14ac:dyDescent="0.3">
      <c r="B8">
        <f>lns!E29</f>
        <v>-0.80386647329487382</v>
      </c>
      <c r="C8">
        <v>5</v>
      </c>
      <c r="D8">
        <f t="shared" si="0"/>
        <v>4.5454545454545456E-2</v>
      </c>
      <c r="E8">
        <f t="shared" si="1"/>
        <v>-1.6906216295848977</v>
      </c>
    </row>
    <row r="9" spans="2:5" x14ac:dyDescent="0.3">
      <c r="B9">
        <f>lns!E35</f>
        <v>-0.76760352107918817</v>
      </c>
      <c r="C9">
        <v>6</v>
      </c>
      <c r="D9">
        <f t="shared" si="0"/>
        <v>5.5555555555555552E-2</v>
      </c>
      <c r="E9">
        <f t="shared" si="1"/>
        <v>-1.5932188180230502</v>
      </c>
    </row>
    <row r="10" spans="2:5" x14ac:dyDescent="0.3">
      <c r="B10">
        <f>lns!E4</f>
        <v>-0.75311589253228028</v>
      </c>
      <c r="C10">
        <v>7</v>
      </c>
      <c r="D10">
        <f t="shared" si="0"/>
        <v>6.5656565656565663E-2</v>
      </c>
      <c r="E10">
        <f t="shared" si="1"/>
        <v>-1.5089438550380374</v>
      </c>
    </row>
    <row r="11" spans="2:5" x14ac:dyDescent="0.3">
      <c r="B11">
        <f>lns!E94</f>
        <v>-0.73860490348472863</v>
      </c>
      <c r="C11">
        <v>8</v>
      </c>
      <c r="D11">
        <f t="shared" si="0"/>
        <v>7.575757575757576E-2</v>
      </c>
      <c r="E11">
        <f t="shared" si="1"/>
        <v>-1.4342001596863787</v>
      </c>
    </row>
    <row r="12" spans="2:5" x14ac:dyDescent="0.3">
      <c r="B12">
        <f>lns!E49</f>
        <v>-0.7227943467054645</v>
      </c>
      <c r="C12">
        <v>9</v>
      </c>
      <c r="D12">
        <f t="shared" si="0"/>
        <v>8.5858585858585856E-2</v>
      </c>
      <c r="E12">
        <f t="shared" si="1"/>
        <v>-1.3667069718079636</v>
      </c>
    </row>
    <row r="13" spans="2:5" x14ac:dyDescent="0.3">
      <c r="B13">
        <f>lns!E28</f>
        <v>-0.7163994309701408</v>
      </c>
      <c r="C13">
        <v>10</v>
      </c>
      <c r="D13">
        <f t="shared" si="0"/>
        <v>9.5959595959595953E-2</v>
      </c>
      <c r="E13">
        <f t="shared" si="1"/>
        <v>-1.304922637752725</v>
      </c>
    </row>
    <row r="14" spans="2:5" x14ac:dyDescent="0.3">
      <c r="B14">
        <f>lns!E40</f>
        <v>-0.71459351800780235</v>
      </c>
      <c r="C14">
        <v>11</v>
      </c>
      <c r="D14">
        <f t="shared" si="0"/>
        <v>0.10606060606060606</v>
      </c>
      <c r="E14">
        <f t="shared" si="1"/>
        <v>-1.2477538553513243</v>
      </c>
    </row>
    <row r="15" spans="2:5" x14ac:dyDescent="0.3">
      <c r="B15">
        <f>lns!E30</f>
        <v>-0.70387855634931473</v>
      </c>
      <c r="C15">
        <v>12</v>
      </c>
      <c r="D15">
        <f t="shared" si="0"/>
        <v>0.11616161616161616</v>
      </c>
      <c r="E15">
        <f t="shared" si="1"/>
        <v>-1.1943956635681565</v>
      </c>
    </row>
    <row r="16" spans="2:5" x14ac:dyDescent="0.3">
      <c r="B16">
        <f>lns!E72</f>
        <v>-0.67508331894301399</v>
      </c>
      <c r="C16">
        <v>13</v>
      </c>
      <c r="D16">
        <f t="shared" si="0"/>
        <v>0.12626262626262627</v>
      </c>
      <c r="E16">
        <f t="shared" si="1"/>
        <v>-1.1442372651002066</v>
      </c>
    </row>
    <row r="17" spans="2:5" x14ac:dyDescent="0.3">
      <c r="B17">
        <f>lns!E54</f>
        <v>-0.66406033433231582</v>
      </c>
      <c r="C17">
        <v>14</v>
      </c>
      <c r="D17">
        <f t="shared" si="0"/>
        <v>0.13636363636363635</v>
      </c>
      <c r="E17">
        <f t="shared" si="1"/>
        <v>-1.096803562093513</v>
      </c>
    </row>
    <row r="18" spans="2:5" x14ac:dyDescent="0.3">
      <c r="B18">
        <f>lns!E21</f>
        <v>-0.66302154870540153</v>
      </c>
      <c r="C18">
        <v>15</v>
      </c>
      <c r="D18">
        <f t="shared" si="0"/>
        <v>0.14646464646464646</v>
      </c>
      <c r="E18">
        <f t="shared" si="1"/>
        <v>-1.0517172529984806</v>
      </c>
    </row>
    <row r="19" spans="2:5" x14ac:dyDescent="0.3">
      <c r="B19">
        <f>lns!E38</f>
        <v>-0.64990763068299573</v>
      </c>
      <c r="C19">
        <v>16</v>
      </c>
      <c r="D19">
        <f t="shared" si="0"/>
        <v>0.15656565656565657</v>
      </c>
      <c r="E19">
        <f t="shared" si="1"/>
        <v>-1.0086733576467986</v>
      </c>
    </row>
    <row r="20" spans="2:5" x14ac:dyDescent="0.3">
      <c r="B20">
        <f>lns!E36</f>
        <v>-0.64310637020315553</v>
      </c>
      <c r="C20">
        <v>17</v>
      </c>
      <c r="D20">
        <f t="shared" si="0"/>
        <v>0.16666666666666666</v>
      </c>
      <c r="E20">
        <f t="shared" si="1"/>
        <v>-0.96742156610170071</v>
      </c>
    </row>
    <row r="21" spans="2:5" x14ac:dyDescent="0.3">
      <c r="B21">
        <f>lns!E45</f>
        <v>-0.620387545575802</v>
      </c>
      <c r="C21">
        <v>18</v>
      </c>
      <c r="D21">
        <f t="shared" si="0"/>
        <v>0.17676767676767677</v>
      </c>
      <c r="E21">
        <f t="shared" si="1"/>
        <v>-0.92775368535742475</v>
      </c>
    </row>
    <row r="22" spans="2:5" x14ac:dyDescent="0.3">
      <c r="B22">
        <f>lns!E33</f>
        <v>-0.6062138066124737</v>
      </c>
      <c r="C22">
        <v>19</v>
      </c>
      <c r="D22">
        <f t="shared" si="0"/>
        <v>0.18686868686868688</v>
      </c>
      <c r="E22">
        <f t="shared" si="1"/>
        <v>-0.88949450753063364</v>
      </c>
    </row>
    <row r="23" spans="2:5" x14ac:dyDescent="0.3">
      <c r="B23">
        <f>lns!E69</f>
        <v>-0.57668234668322338</v>
      </c>
      <c r="C23">
        <v>20</v>
      </c>
      <c r="D23">
        <f t="shared" si="0"/>
        <v>0.19696969696969696</v>
      </c>
      <c r="E23">
        <f t="shared" si="1"/>
        <v>-0.85249503427469364</v>
      </c>
    </row>
    <row r="24" spans="2:5" x14ac:dyDescent="0.3">
      <c r="B24">
        <f>lns!E70</f>
        <v>-0.55375922115117748</v>
      </c>
      <c r="C24">
        <v>21</v>
      </c>
      <c r="D24">
        <f t="shared" si="0"/>
        <v>0.20707070707070707</v>
      </c>
      <c r="E24">
        <f t="shared" si="1"/>
        <v>-0.81662736084860543</v>
      </c>
    </row>
    <row r="25" spans="2:5" x14ac:dyDescent="0.3">
      <c r="B25">
        <f>lns!E37</f>
        <v>-0.518760353974272</v>
      </c>
      <c r="C25">
        <v>22</v>
      </c>
      <c r="D25">
        <f t="shared" si="0"/>
        <v>0.21717171717171718</v>
      </c>
      <c r="E25">
        <f t="shared" si="1"/>
        <v>-0.78178075276507197</v>
      </c>
    </row>
    <row r="26" spans="2:5" x14ac:dyDescent="0.3">
      <c r="B26">
        <f>lns!E62</f>
        <v>-0.51394882923197172</v>
      </c>
      <c r="C26">
        <v>23</v>
      </c>
      <c r="D26">
        <f t="shared" si="0"/>
        <v>0.22727272727272727</v>
      </c>
      <c r="E26">
        <f t="shared" si="1"/>
        <v>-0.74785859476330196</v>
      </c>
    </row>
    <row r="27" spans="2:5" x14ac:dyDescent="0.3">
      <c r="B27">
        <f>lns!E53</f>
        <v>-0.47560971401522001</v>
      </c>
      <c r="C27">
        <v>24</v>
      </c>
      <c r="D27">
        <f t="shared" si="0"/>
        <v>0.23737373737373738</v>
      </c>
      <c r="E27">
        <f t="shared" si="1"/>
        <v>-0.71477598810315091</v>
      </c>
    </row>
    <row r="28" spans="2:5" x14ac:dyDescent="0.3">
      <c r="B28">
        <f>lns!E71</f>
        <v>-0.45108609941513234</v>
      </c>
      <c r="C28">
        <v>25</v>
      </c>
      <c r="D28">
        <f t="shared" si="0"/>
        <v>0.24747474747474749</v>
      </c>
      <c r="E28">
        <f t="shared" si="1"/>
        <v>-0.68245783666933024</v>
      </c>
    </row>
    <row r="29" spans="2:5" x14ac:dyDescent="0.3">
      <c r="B29">
        <f>lns!E73</f>
        <v>-0.44649024826109629</v>
      </c>
      <c r="C29">
        <v>26</v>
      </c>
      <c r="D29">
        <f t="shared" si="0"/>
        <v>0.25757575757575757</v>
      </c>
      <c r="E29">
        <f t="shared" si="1"/>
        <v>-0.65083730644447746</v>
      </c>
    </row>
    <row r="30" spans="2:5" x14ac:dyDescent="0.3">
      <c r="B30">
        <f>lns!E22</f>
        <v>-0.44074778551284527</v>
      </c>
      <c r="C30">
        <v>27</v>
      </c>
      <c r="D30">
        <f t="shared" si="0"/>
        <v>0.26767676767676768</v>
      </c>
      <c r="E30">
        <f t="shared" si="1"/>
        <v>-0.61985457356549389</v>
      </c>
    </row>
    <row r="31" spans="2:5" x14ac:dyDescent="0.3">
      <c r="B31">
        <f>lns!E20</f>
        <v>-0.41716528905640088</v>
      </c>
      <c r="C31">
        <v>28</v>
      </c>
      <c r="D31">
        <f t="shared" si="0"/>
        <v>0.27777777777777779</v>
      </c>
      <c r="E31">
        <f t="shared" si="1"/>
        <v>-0.58945579784977842</v>
      </c>
    </row>
    <row r="32" spans="2:5" x14ac:dyDescent="0.3">
      <c r="B32">
        <f>lns!E43</f>
        <v>-0.41215896204261099</v>
      </c>
      <c r="C32">
        <v>29</v>
      </c>
      <c r="D32">
        <f t="shared" si="0"/>
        <v>0.2878787878787879</v>
      </c>
      <c r="E32">
        <f t="shared" si="1"/>
        <v>-0.5595922742274323</v>
      </c>
    </row>
    <row r="33" spans="2:5" x14ac:dyDescent="0.3">
      <c r="B33">
        <f>lns!E19</f>
        <v>-0.39745676069469604</v>
      </c>
      <c r="C33">
        <v>30</v>
      </c>
      <c r="D33">
        <f t="shared" si="0"/>
        <v>0.29797979797979796</v>
      </c>
      <c r="E33">
        <f t="shared" si="1"/>
        <v>-0.53021972582422794</v>
      </c>
    </row>
    <row r="34" spans="2:5" x14ac:dyDescent="0.3">
      <c r="B34">
        <f>lns!E32</f>
        <v>-0.39096918354366567</v>
      </c>
      <c r="C34">
        <v>31</v>
      </c>
      <c r="D34">
        <f t="shared" si="0"/>
        <v>0.30808080808080807</v>
      </c>
      <c r="E34">
        <f t="shared" si="1"/>
        <v>-0.50129771076772867</v>
      </c>
    </row>
    <row r="35" spans="2:5" x14ac:dyDescent="0.3">
      <c r="B35">
        <f>lns!E48</f>
        <v>-0.35839928690677841</v>
      </c>
      <c r="C35">
        <v>32</v>
      </c>
      <c r="D35">
        <f t="shared" si="0"/>
        <v>0.31818181818181818</v>
      </c>
      <c r="E35">
        <f t="shared" si="1"/>
        <v>-0.47278912099226744</v>
      </c>
    </row>
    <row r="36" spans="2:5" x14ac:dyDescent="0.3">
      <c r="B36">
        <f>lns!E46</f>
        <v>-0.35752816497115453</v>
      </c>
      <c r="C36">
        <v>33</v>
      </c>
      <c r="D36">
        <f t="shared" si="0"/>
        <v>0.32828282828282829</v>
      </c>
      <c r="E36">
        <f t="shared" si="1"/>
        <v>-0.4446597559886718</v>
      </c>
    </row>
    <row r="37" spans="2:5" x14ac:dyDescent="0.3">
      <c r="B37">
        <f>lns!E26</f>
        <v>-0.34994762318930583</v>
      </c>
      <c r="C37">
        <v>34</v>
      </c>
      <c r="D37">
        <f t="shared" si="0"/>
        <v>0.3383838383838384</v>
      </c>
      <c r="E37">
        <f t="shared" si="1"/>
        <v>-0.41687795799540722</v>
      </c>
    </row>
    <row r="38" spans="2:5" x14ac:dyDescent="0.3">
      <c r="B38">
        <f>lns!E82</f>
        <v>-0.34902428500820959</v>
      </c>
      <c r="C38">
        <v>35</v>
      </c>
      <c r="D38">
        <f t="shared" si="0"/>
        <v>0.34848484848484851</v>
      </c>
      <c r="E38">
        <f t="shared" si="1"/>
        <v>-0.38941429785214438</v>
      </c>
    </row>
    <row r="39" spans="2:5" x14ac:dyDescent="0.3">
      <c r="B39">
        <f>lns!E90</f>
        <v>-0.34794459316806609</v>
      </c>
      <c r="C39">
        <v>36</v>
      </c>
      <c r="D39">
        <f t="shared" si="0"/>
        <v>0.35858585858585856</v>
      </c>
      <c r="E39">
        <f t="shared" si="1"/>
        <v>-0.3622413028447366</v>
      </c>
    </row>
    <row r="40" spans="2:5" x14ac:dyDescent="0.3">
      <c r="B40">
        <f>lns!E56</f>
        <v>-0.34381795043622404</v>
      </c>
      <c r="C40">
        <v>37</v>
      </c>
      <c r="D40">
        <f t="shared" si="0"/>
        <v>0.36868686868686867</v>
      </c>
      <c r="E40">
        <f t="shared" si="1"/>
        <v>-0.33533321951439826</v>
      </c>
    </row>
    <row r="41" spans="2:5" x14ac:dyDescent="0.3">
      <c r="B41">
        <f>lns!E83</f>
        <v>-0.33491624779993101</v>
      </c>
      <c r="C41">
        <v>38</v>
      </c>
      <c r="D41">
        <f t="shared" si="0"/>
        <v>0.37878787878787878</v>
      </c>
      <c r="E41">
        <f t="shared" si="1"/>
        <v>-0.30866580569493407</v>
      </c>
    </row>
    <row r="42" spans="2:5" x14ac:dyDescent="0.3">
      <c r="B42">
        <f>lns!E66</f>
        <v>-0.33269478020173598</v>
      </c>
      <c r="C42">
        <v>39</v>
      </c>
      <c r="D42">
        <f t="shared" si="0"/>
        <v>0.3888888888888889</v>
      </c>
      <c r="E42">
        <f t="shared" si="1"/>
        <v>-0.28221614706250814</v>
      </c>
    </row>
    <row r="43" spans="2:5" x14ac:dyDescent="0.3">
      <c r="B43">
        <f>lns!E27</f>
        <v>-0.33157962498900656</v>
      </c>
      <c r="C43">
        <v>40</v>
      </c>
      <c r="D43">
        <f t="shared" si="0"/>
        <v>0.39898989898989901</v>
      </c>
      <c r="E43">
        <f t="shared" si="1"/>
        <v>-0.25596249429406465</v>
      </c>
    </row>
    <row r="44" spans="2:5" x14ac:dyDescent="0.3">
      <c r="B44">
        <f>lns!E61</f>
        <v>-0.31783892015353421</v>
      </c>
      <c r="C44">
        <v>41</v>
      </c>
      <c r="D44">
        <f t="shared" si="0"/>
        <v>0.40909090909090912</v>
      </c>
      <c r="E44">
        <f t="shared" si="1"/>
        <v>-0.22988411757923208</v>
      </c>
    </row>
    <row r="45" spans="2:5" x14ac:dyDescent="0.3">
      <c r="B45">
        <f>lns!E18</f>
        <v>-0.2994348667666577</v>
      </c>
      <c r="C45">
        <v>42</v>
      </c>
      <c r="D45">
        <f t="shared" si="0"/>
        <v>0.41919191919191917</v>
      </c>
      <c r="E45">
        <f t="shared" si="1"/>
        <v>-0.20396117575131437</v>
      </c>
    </row>
    <row r="46" spans="2:5" x14ac:dyDescent="0.3">
      <c r="B46">
        <f>lns!E81</f>
        <v>-0.26880143868849288</v>
      </c>
      <c r="C46">
        <v>43</v>
      </c>
      <c r="D46">
        <f t="shared" si="0"/>
        <v>0.42929292929292928</v>
      </c>
      <c r="E46">
        <f t="shared" si="1"/>
        <v>-0.17817459772241043</v>
      </c>
    </row>
    <row r="47" spans="2:5" x14ac:dyDescent="0.3">
      <c r="B47">
        <f>lns!E91</f>
        <v>-0.26055859566905137</v>
      </c>
      <c r="C47">
        <v>44</v>
      </c>
      <c r="D47">
        <f t="shared" si="0"/>
        <v>0.43939393939393939</v>
      </c>
      <c r="E47">
        <f t="shared" si="1"/>
        <v>-0.15250597424624437</v>
      </c>
    </row>
    <row r="48" spans="2:5" x14ac:dyDescent="0.3">
      <c r="B48">
        <f>lns!E34</f>
        <v>-0.24828573369593768</v>
      </c>
      <c r="C48">
        <v>45</v>
      </c>
      <c r="D48">
        <f t="shared" si="0"/>
        <v>0.4494949494949495</v>
      </c>
      <c r="E48">
        <f t="shared" si="1"/>
        <v>-0.12693745830564304</v>
      </c>
    </row>
    <row r="49" spans="2:5" x14ac:dyDescent="0.3">
      <c r="B49">
        <f>lns!E68</f>
        <v>-0.24044358770491642</v>
      </c>
      <c r="C49">
        <v>46</v>
      </c>
      <c r="D49">
        <f t="shared" si="0"/>
        <v>0.45959595959595961</v>
      </c>
      <c r="E49">
        <f t="shared" si="1"/>
        <v>-0.1014516726419474</v>
      </c>
    </row>
    <row r="50" spans="2:5" x14ac:dyDescent="0.3">
      <c r="B50">
        <f>lns!E55</f>
        <v>-0.23112658107379755</v>
      </c>
      <c r="C50">
        <v>47</v>
      </c>
      <c r="D50">
        <f t="shared" si="0"/>
        <v>0.46969696969696972</v>
      </c>
      <c r="E50">
        <f t="shared" si="1"/>
        <v>-7.60316231203884E-2</v>
      </c>
    </row>
    <row r="51" spans="2:5" x14ac:dyDescent="0.3">
      <c r="B51">
        <f>lns!E5</f>
        <v>-0.20491078305315005</v>
      </c>
      <c r="C51">
        <v>48</v>
      </c>
      <c r="D51">
        <f t="shared" si="0"/>
        <v>0.47979797979797978</v>
      </c>
      <c r="E51">
        <f t="shared" si="1"/>
        <v>-5.0660616765876576E-2</v>
      </c>
    </row>
    <row r="52" spans="2:5" x14ac:dyDescent="0.3">
      <c r="B52">
        <f>lns!E101</f>
        <v>-0.20325269261641696</v>
      </c>
      <c r="C52">
        <v>49</v>
      </c>
      <c r="D52">
        <f t="shared" si="0"/>
        <v>0.48989898989898989</v>
      </c>
      <c r="E52">
        <f t="shared" si="1"/>
        <v>-2.5322183413346296E-2</v>
      </c>
    </row>
    <row r="53" spans="2:5" x14ac:dyDescent="0.3">
      <c r="B53">
        <f>lns!E60</f>
        <v>-0.19393918080821171</v>
      </c>
      <c r="C53">
        <v>50</v>
      </c>
      <c r="D53">
        <f t="shared" si="0"/>
        <v>0.5</v>
      </c>
      <c r="E53">
        <f t="shared" si="1"/>
        <v>0</v>
      </c>
    </row>
    <row r="54" spans="2:5" x14ac:dyDescent="0.3">
      <c r="B54">
        <f>lns!E63</f>
        <v>-0.19062432961653014</v>
      </c>
      <c r="C54">
        <v>51</v>
      </c>
      <c r="D54">
        <f t="shared" si="0"/>
        <v>0.51010101010101006</v>
      </c>
      <c r="E54">
        <f t="shared" si="1"/>
        <v>2.5322183413346164E-2</v>
      </c>
    </row>
    <row r="55" spans="2:5" x14ac:dyDescent="0.3">
      <c r="B55">
        <f>lns!E98</f>
        <v>-0.18582368208212638</v>
      </c>
      <c r="C55">
        <v>52</v>
      </c>
      <c r="D55">
        <f t="shared" si="0"/>
        <v>0.52020202020202022</v>
      </c>
      <c r="E55">
        <f t="shared" si="1"/>
        <v>5.0660616765876576E-2</v>
      </c>
    </row>
    <row r="56" spans="2:5" x14ac:dyDescent="0.3">
      <c r="B56">
        <f>lns!E96</f>
        <v>-0.17990807159383071</v>
      </c>
      <c r="C56">
        <v>53</v>
      </c>
      <c r="D56">
        <f t="shared" si="0"/>
        <v>0.53030303030303028</v>
      </c>
      <c r="E56">
        <f t="shared" si="1"/>
        <v>7.60316231203884E-2</v>
      </c>
    </row>
    <row r="57" spans="2:5" x14ac:dyDescent="0.3">
      <c r="B57">
        <f>lns!E24</f>
        <v>-0.15463596422535328</v>
      </c>
      <c r="C57">
        <v>54</v>
      </c>
      <c r="D57">
        <f t="shared" si="0"/>
        <v>0.54040404040404044</v>
      </c>
      <c r="E57">
        <f t="shared" si="1"/>
        <v>0.10145167264194754</v>
      </c>
    </row>
    <row r="58" spans="2:5" x14ac:dyDescent="0.3">
      <c r="B58">
        <f>lns!E93</f>
        <v>-0.14680770557199979</v>
      </c>
      <c r="C58">
        <v>55</v>
      </c>
      <c r="D58">
        <f t="shared" si="0"/>
        <v>0.5505050505050505</v>
      </c>
      <c r="E58">
        <f t="shared" si="1"/>
        <v>0.12693745830564304</v>
      </c>
    </row>
    <row r="59" spans="2:5" x14ac:dyDescent="0.3">
      <c r="B59">
        <f>lns!E100</f>
        <v>-0.14648000812991274</v>
      </c>
      <c r="C59">
        <v>56</v>
      </c>
      <c r="D59">
        <f t="shared" si="0"/>
        <v>0.56060606060606055</v>
      </c>
      <c r="E59">
        <f t="shared" si="1"/>
        <v>0.15250597424624424</v>
      </c>
    </row>
    <row r="60" spans="2:5" x14ac:dyDescent="0.3">
      <c r="B60">
        <f>lns!E12</f>
        <v>-0.14382995553200648</v>
      </c>
      <c r="C60">
        <v>57</v>
      </c>
      <c r="D60">
        <f t="shared" si="0"/>
        <v>0.57070707070707072</v>
      </c>
      <c r="E60">
        <f t="shared" si="1"/>
        <v>0.17817459772241043</v>
      </c>
    </row>
    <row r="61" spans="2:5" x14ac:dyDescent="0.3">
      <c r="B61">
        <f>lns!E13</f>
        <v>-0.13420704940059183</v>
      </c>
      <c r="C61">
        <v>58</v>
      </c>
      <c r="D61">
        <f t="shared" si="0"/>
        <v>0.58080808080808077</v>
      </c>
      <c r="E61">
        <f t="shared" si="1"/>
        <v>0.2039611757513142</v>
      </c>
    </row>
    <row r="62" spans="2:5" x14ac:dyDescent="0.3">
      <c r="B62">
        <f>lns!E89</f>
        <v>-0.11984378253743376</v>
      </c>
      <c r="C62">
        <v>59</v>
      </c>
      <c r="D62">
        <f t="shared" si="0"/>
        <v>0.59090909090909094</v>
      </c>
      <c r="E62">
        <f t="shared" si="1"/>
        <v>0.22988411757923222</v>
      </c>
    </row>
    <row r="63" spans="2:5" x14ac:dyDescent="0.3">
      <c r="B63">
        <f>lns!E67</f>
        <v>-0.10070802197716949</v>
      </c>
      <c r="C63">
        <v>60</v>
      </c>
      <c r="D63">
        <f t="shared" si="0"/>
        <v>0.60101010101010099</v>
      </c>
      <c r="E63">
        <f t="shared" si="1"/>
        <v>0.25596249429406465</v>
      </c>
    </row>
    <row r="64" spans="2:5" x14ac:dyDescent="0.3">
      <c r="B64">
        <f>lns!E17</f>
        <v>-9.4621716849340842E-2</v>
      </c>
      <c r="C64">
        <v>61</v>
      </c>
      <c r="D64">
        <f t="shared" si="0"/>
        <v>0.61111111111111116</v>
      </c>
      <c r="E64">
        <f t="shared" si="1"/>
        <v>0.28221614706250825</v>
      </c>
    </row>
    <row r="65" spans="2:5" x14ac:dyDescent="0.3">
      <c r="B65">
        <f>lns!E58</f>
        <v>-7.8420024935573623E-2</v>
      </c>
      <c r="C65">
        <v>62</v>
      </c>
      <c r="D65">
        <f t="shared" si="0"/>
        <v>0.62121212121212122</v>
      </c>
      <c r="E65">
        <f t="shared" si="1"/>
        <v>0.30866580569493407</v>
      </c>
    </row>
    <row r="66" spans="2:5" x14ac:dyDescent="0.3">
      <c r="B66">
        <f>lns!E25</f>
        <v>-6.9190390992644735E-2</v>
      </c>
      <c r="C66">
        <v>63</v>
      </c>
      <c r="D66">
        <f t="shared" si="0"/>
        <v>0.63131313131313127</v>
      </c>
      <c r="E66">
        <f t="shared" si="1"/>
        <v>0.3353332195143981</v>
      </c>
    </row>
    <row r="67" spans="2:5" x14ac:dyDescent="0.3">
      <c r="B67">
        <f>lns!E39</f>
        <v>-5.8058230318103338E-2</v>
      </c>
      <c r="C67">
        <v>64</v>
      </c>
      <c r="D67">
        <f t="shared" si="0"/>
        <v>0.64141414141414144</v>
      </c>
      <c r="E67">
        <f t="shared" si="1"/>
        <v>0.3622413028447366</v>
      </c>
    </row>
    <row r="68" spans="2:5" x14ac:dyDescent="0.3">
      <c r="B68">
        <f>lns!E65</f>
        <v>-3.6412978531794753E-2</v>
      </c>
      <c r="C68">
        <v>65</v>
      </c>
      <c r="D68">
        <f t="shared" si="0"/>
        <v>0.65151515151515149</v>
      </c>
      <c r="E68">
        <f t="shared" si="1"/>
        <v>0.38941429785214438</v>
      </c>
    </row>
    <row r="69" spans="2:5" x14ac:dyDescent="0.3">
      <c r="B69">
        <f>lns!E92</f>
        <v>-2.0748774752553253E-2</v>
      </c>
      <c r="C69">
        <v>66</v>
      </c>
      <c r="D69">
        <f t="shared" si="0"/>
        <v>0.66161616161616166</v>
      </c>
      <c r="E69">
        <f t="shared" si="1"/>
        <v>0.41687795799540739</v>
      </c>
    </row>
    <row r="70" spans="2:5" x14ac:dyDescent="0.3">
      <c r="B70">
        <f>lns!E52</f>
        <v>-7.9263305244452447E-3</v>
      </c>
      <c r="C70">
        <v>67</v>
      </c>
      <c r="D70">
        <f t="shared" ref="D70:D102" si="2">(C70-0.5)/99</f>
        <v>0.67171717171717171</v>
      </c>
      <c r="E70">
        <f t="shared" ref="E70:E102" si="3">NORMSINV(D70)</f>
        <v>0.4446597559886718</v>
      </c>
    </row>
    <row r="71" spans="2:5" x14ac:dyDescent="0.3">
      <c r="B71">
        <f>lns!E84</f>
        <v>1.0094902931736811E-3</v>
      </c>
      <c r="C71">
        <v>68</v>
      </c>
      <c r="D71">
        <f t="shared" si="2"/>
        <v>0.68181818181818177</v>
      </c>
      <c r="E71">
        <f t="shared" si="3"/>
        <v>0.47278912099226728</v>
      </c>
    </row>
    <row r="72" spans="2:5" x14ac:dyDescent="0.3">
      <c r="B72">
        <f>lns!E50</f>
        <v>1.7004598815823765E-2</v>
      </c>
      <c r="C72">
        <v>69</v>
      </c>
      <c r="D72">
        <f t="shared" si="2"/>
        <v>0.69191919191919193</v>
      </c>
      <c r="E72">
        <f t="shared" si="3"/>
        <v>0.50129771076772867</v>
      </c>
    </row>
    <row r="73" spans="2:5" x14ac:dyDescent="0.3">
      <c r="B73">
        <f>lns!E74</f>
        <v>3.2641424715762202E-2</v>
      </c>
      <c r="C73">
        <v>70</v>
      </c>
      <c r="D73">
        <f t="shared" si="2"/>
        <v>0.70202020202020199</v>
      </c>
      <c r="E73">
        <f t="shared" si="3"/>
        <v>0.53021972582422772</v>
      </c>
    </row>
    <row r="74" spans="2:5" x14ac:dyDescent="0.3">
      <c r="B74">
        <f>lns!E47</f>
        <v>3.6061883145022074E-2</v>
      </c>
      <c r="C74">
        <v>71</v>
      </c>
      <c r="D74">
        <f t="shared" si="2"/>
        <v>0.71212121212121215</v>
      </c>
      <c r="E74">
        <f t="shared" si="3"/>
        <v>0.55959227422743252</v>
      </c>
    </row>
    <row r="75" spans="2:5" x14ac:dyDescent="0.3">
      <c r="B75">
        <f>lns!E80</f>
        <v>7.7136951588903255E-2</v>
      </c>
      <c r="C75">
        <v>72</v>
      </c>
      <c r="D75">
        <f t="shared" si="2"/>
        <v>0.72222222222222221</v>
      </c>
      <c r="E75">
        <f t="shared" si="3"/>
        <v>0.58945579784977842</v>
      </c>
    </row>
    <row r="76" spans="2:5" x14ac:dyDescent="0.3">
      <c r="B76">
        <f>lns!E95</f>
        <v>0.11505041656245515</v>
      </c>
      <c r="C76">
        <v>73</v>
      </c>
      <c r="D76">
        <f t="shared" si="2"/>
        <v>0.73232323232323238</v>
      </c>
      <c r="E76">
        <f t="shared" si="3"/>
        <v>0.61985457356549423</v>
      </c>
    </row>
    <row r="77" spans="2:5" x14ac:dyDescent="0.3">
      <c r="B77">
        <f>lns!E76</f>
        <v>0.1319839459462564</v>
      </c>
      <c r="C77">
        <v>74</v>
      </c>
      <c r="D77">
        <f t="shared" si="2"/>
        <v>0.74242424242424243</v>
      </c>
      <c r="E77">
        <f t="shared" si="3"/>
        <v>0.65083730644447746</v>
      </c>
    </row>
    <row r="78" spans="2:5" x14ac:dyDescent="0.3">
      <c r="B78">
        <f>lns!E59</f>
        <v>0.15587490677897109</v>
      </c>
      <c r="C78">
        <v>75</v>
      </c>
      <c r="D78">
        <f t="shared" si="2"/>
        <v>0.75252525252525249</v>
      </c>
      <c r="E78">
        <f t="shared" si="3"/>
        <v>0.68245783666933024</v>
      </c>
    </row>
    <row r="79" spans="2:5" x14ac:dyDescent="0.3">
      <c r="B79">
        <f>lns!E102</f>
        <v>0.15903587068486968</v>
      </c>
      <c r="C79">
        <v>76</v>
      </c>
      <c r="D79">
        <f t="shared" si="2"/>
        <v>0.76262626262626265</v>
      </c>
      <c r="E79">
        <f t="shared" si="3"/>
        <v>0.71477598810315091</v>
      </c>
    </row>
    <row r="80" spans="2:5" x14ac:dyDescent="0.3">
      <c r="B80">
        <f>lns!E16</f>
        <v>0.17116791892386501</v>
      </c>
      <c r="C80">
        <v>77</v>
      </c>
      <c r="D80">
        <f t="shared" si="2"/>
        <v>0.77272727272727271</v>
      </c>
      <c r="E80">
        <f t="shared" si="3"/>
        <v>0.74785859476330196</v>
      </c>
    </row>
    <row r="81" spans="2:5" x14ac:dyDescent="0.3">
      <c r="B81">
        <f>lns!E57</f>
        <v>0.17736763971760788</v>
      </c>
      <c r="C81">
        <v>78</v>
      </c>
      <c r="D81">
        <f t="shared" si="2"/>
        <v>0.78282828282828287</v>
      </c>
      <c r="E81">
        <f t="shared" si="3"/>
        <v>0.78178075276507275</v>
      </c>
    </row>
    <row r="82" spans="2:5" x14ac:dyDescent="0.3">
      <c r="B82">
        <f>lns!E78</f>
        <v>0.18250487332378618</v>
      </c>
      <c r="C82">
        <v>79</v>
      </c>
      <c r="D82">
        <f t="shared" si="2"/>
        <v>0.79292929292929293</v>
      </c>
      <c r="E82">
        <f t="shared" si="3"/>
        <v>0.81662736084860543</v>
      </c>
    </row>
    <row r="83" spans="2:5" x14ac:dyDescent="0.3">
      <c r="B83">
        <f>lns!E87</f>
        <v>0.20196077204630308</v>
      </c>
      <c r="C83">
        <v>80</v>
      </c>
      <c r="D83">
        <f t="shared" si="2"/>
        <v>0.80303030303030298</v>
      </c>
      <c r="E83">
        <f t="shared" si="3"/>
        <v>0.85249503427469353</v>
      </c>
    </row>
    <row r="84" spans="2:5" x14ac:dyDescent="0.3">
      <c r="B84">
        <f>lns!E11</f>
        <v>0.22366341616106086</v>
      </c>
      <c r="C84">
        <v>81</v>
      </c>
      <c r="D84">
        <f t="shared" si="2"/>
        <v>0.81313131313131315</v>
      </c>
      <c r="E84">
        <f t="shared" si="3"/>
        <v>0.88949450753063364</v>
      </c>
    </row>
    <row r="85" spans="2:5" x14ac:dyDescent="0.3">
      <c r="B85">
        <f>lns!E7</f>
        <v>0.22927670501765696</v>
      </c>
      <c r="C85">
        <v>82</v>
      </c>
      <c r="D85">
        <f t="shared" si="2"/>
        <v>0.8232323232323232</v>
      </c>
      <c r="E85">
        <f t="shared" si="3"/>
        <v>0.92775368535742475</v>
      </c>
    </row>
    <row r="86" spans="2:5" x14ac:dyDescent="0.3">
      <c r="B86">
        <f>lns!E23</f>
        <v>0.24866313893961858</v>
      </c>
      <c r="C86">
        <v>83</v>
      </c>
      <c r="D86">
        <f t="shared" si="2"/>
        <v>0.83333333333333337</v>
      </c>
      <c r="E86">
        <f t="shared" si="3"/>
        <v>0.96742156610170071</v>
      </c>
    </row>
    <row r="87" spans="2:5" x14ac:dyDescent="0.3">
      <c r="B87">
        <f>lns!E51</f>
        <v>0.25962975988461989</v>
      </c>
      <c r="C87">
        <v>84</v>
      </c>
      <c r="D87">
        <f t="shared" si="2"/>
        <v>0.84343434343434343</v>
      </c>
      <c r="E87">
        <f t="shared" si="3"/>
        <v>1.0086733576467986</v>
      </c>
    </row>
    <row r="88" spans="2:5" x14ac:dyDescent="0.3">
      <c r="B88">
        <f>lns!E99</f>
        <v>0.26615706270618728</v>
      </c>
      <c r="C88">
        <v>85</v>
      </c>
      <c r="D88">
        <f t="shared" si="2"/>
        <v>0.85353535353535348</v>
      </c>
      <c r="E88">
        <f t="shared" si="3"/>
        <v>1.0517172529984837</v>
      </c>
    </row>
    <row r="89" spans="2:5" x14ac:dyDescent="0.3">
      <c r="B89">
        <f>lns!E77</f>
        <v>0.28629861591694805</v>
      </c>
      <c r="C89">
        <v>86</v>
      </c>
      <c r="D89">
        <f t="shared" si="2"/>
        <v>0.86363636363636365</v>
      </c>
      <c r="E89">
        <f t="shared" si="3"/>
        <v>1.096803562093513</v>
      </c>
    </row>
    <row r="90" spans="2:5" x14ac:dyDescent="0.3">
      <c r="B90">
        <f>lns!E75</f>
        <v>0.33833478671168399</v>
      </c>
      <c r="C90">
        <v>87</v>
      </c>
      <c r="D90">
        <f t="shared" si="2"/>
        <v>0.8737373737373737</v>
      </c>
      <c r="E90">
        <f t="shared" si="3"/>
        <v>1.1442372651002066</v>
      </c>
    </row>
    <row r="91" spans="2:5" x14ac:dyDescent="0.3">
      <c r="B91">
        <f>lns!E88</f>
        <v>0.45311176157551736</v>
      </c>
      <c r="C91">
        <v>88</v>
      </c>
      <c r="D91">
        <f t="shared" si="2"/>
        <v>0.88383838383838387</v>
      </c>
      <c r="E91">
        <f t="shared" si="3"/>
        <v>1.1943956635681565</v>
      </c>
    </row>
    <row r="92" spans="2:5" x14ac:dyDescent="0.3">
      <c r="B92">
        <f>lns!E79</f>
        <v>0.5413179707015815</v>
      </c>
      <c r="C92">
        <v>89</v>
      </c>
      <c r="D92">
        <f t="shared" si="2"/>
        <v>0.89393939393939392</v>
      </c>
      <c r="E92">
        <f t="shared" si="3"/>
        <v>1.2477538553513243</v>
      </c>
    </row>
    <row r="93" spans="2:5" x14ac:dyDescent="0.3">
      <c r="B93">
        <f>lns!E14</f>
        <v>0.54179508105112595</v>
      </c>
      <c r="C93">
        <v>90</v>
      </c>
      <c r="D93">
        <f t="shared" si="2"/>
        <v>0.90404040404040409</v>
      </c>
      <c r="E93">
        <f t="shared" si="3"/>
        <v>1.3049226377527239</v>
      </c>
    </row>
    <row r="94" spans="2:5" x14ac:dyDescent="0.3">
      <c r="B94">
        <f>lns!E15</f>
        <v>0.57995608578693048</v>
      </c>
      <c r="C94">
        <v>91</v>
      </c>
      <c r="D94">
        <f t="shared" si="2"/>
        <v>0.91414141414141414</v>
      </c>
      <c r="E94">
        <f t="shared" si="3"/>
        <v>1.3667069718079636</v>
      </c>
    </row>
    <row r="95" spans="2:5" x14ac:dyDescent="0.3">
      <c r="B95">
        <f>lns!E86</f>
        <v>0.5857735287916026</v>
      </c>
      <c r="C95">
        <v>92</v>
      </c>
      <c r="D95">
        <f t="shared" si="2"/>
        <v>0.9242424242424242</v>
      </c>
      <c r="E95">
        <f t="shared" si="3"/>
        <v>1.434200159686378</v>
      </c>
    </row>
    <row r="96" spans="2:5" x14ac:dyDescent="0.3">
      <c r="B96">
        <f>lns!E64</f>
        <v>0.59001196486231877</v>
      </c>
      <c r="C96">
        <v>93</v>
      </c>
      <c r="D96">
        <f t="shared" si="2"/>
        <v>0.93434343434343436</v>
      </c>
      <c r="E96">
        <f t="shared" si="3"/>
        <v>1.5089438550380383</v>
      </c>
    </row>
    <row r="97" spans="2:5" x14ac:dyDescent="0.3">
      <c r="B97">
        <f>lns!E6</f>
        <v>0.59369141969638195</v>
      </c>
      <c r="C97">
        <v>94</v>
      </c>
      <c r="D97">
        <f t="shared" si="2"/>
        <v>0.94444444444444442</v>
      </c>
      <c r="E97">
        <f t="shared" si="3"/>
        <v>1.59321881802305</v>
      </c>
    </row>
    <row r="98" spans="2:5" x14ac:dyDescent="0.3">
      <c r="B98">
        <f>lns!E97</f>
        <v>0.80446491669189824</v>
      </c>
      <c r="C98">
        <v>95</v>
      </c>
      <c r="D98">
        <f t="shared" si="2"/>
        <v>0.95454545454545459</v>
      </c>
      <c r="E98">
        <f t="shared" si="3"/>
        <v>1.6906216295848984</v>
      </c>
    </row>
    <row r="99" spans="2:5" x14ac:dyDescent="0.3">
      <c r="B99">
        <f>lns!E8</f>
        <v>0.80478246859305735</v>
      </c>
      <c r="C99">
        <v>96</v>
      </c>
      <c r="D99">
        <f t="shared" si="2"/>
        <v>0.96464646464646464</v>
      </c>
      <c r="E99">
        <f t="shared" si="3"/>
        <v>1.807354196799112</v>
      </c>
    </row>
    <row r="100" spans="2:5" x14ac:dyDescent="0.3">
      <c r="B100">
        <f>lns!E85</f>
        <v>0.93544609091389641</v>
      </c>
      <c r="C100">
        <v>97</v>
      </c>
      <c r="D100">
        <f t="shared" si="2"/>
        <v>0.9747474747474747</v>
      </c>
      <c r="E100">
        <f t="shared" si="3"/>
        <v>1.9556614355881674</v>
      </c>
    </row>
    <row r="101" spans="2:5" x14ac:dyDescent="0.3">
      <c r="B101">
        <f>lns!E10</f>
        <v>1.1804011632122084</v>
      </c>
      <c r="C101">
        <v>98</v>
      </c>
      <c r="D101">
        <f t="shared" si="2"/>
        <v>0.98484848484848486</v>
      </c>
      <c r="E101">
        <f t="shared" si="3"/>
        <v>2.166106752892329</v>
      </c>
    </row>
    <row r="102" spans="2:5" x14ac:dyDescent="0.3">
      <c r="B102">
        <f>lns!E9</f>
        <v>1.2175058186085204</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8F18-2095-47F8-AE64-4361EBF1B5F9}">
  <dimension ref="A1:E102"/>
  <sheetViews>
    <sheetView workbookViewId="0">
      <selection activeCell="E3" sqref="E3"/>
    </sheetView>
  </sheetViews>
  <sheetFormatPr defaultRowHeight="14.4" x14ac:dyDescent="0.3"/>
  <cols>
    <col min="2" max="2" width="16.5546875" customWidth="1"/>
    <col min="4" max="4" width="15" customWidth="1"/>
    <col min="5" max="5" width="17.6640625" customWidth="1"/>
  </cols>
  <sheetData>
    <row r="1" spans="1:5" x14ac:dyDescent="0.3">
      <c r="A1" t="s">
        <v>12</v>
      </c>
    </row>
    <row r="3" spans="1:5" x14ac:dyDescent="0.3">
      <c r="B3" t="s">
        <v>20</v>
      </c>
      <c r="C3" t="s">
        <v>14</v>
      </c>
      <c r="D3" t="s">
        <v>15</v>
      </c>
      <c r="E3" t="s">
        <v>16</v>
      </c>
    </row>
    <row r="4" spans="1:5" x14ac:dyDescent="0.3">
      <c r="B4">
        <f>lns!F29</f>
        <v>-1.0905607891576288</v>
      </c>
      <c r="C4">
        <v>1</v>
      </c>
      <c r="D4">
        <f>(C4-0.5)/99</f>
        <v>5.0505050505050509E-3</v>
      </c>
      <c r="E4">
        <f>NORMSINV(D4)</f>
        <v>-2.5723521109428895</v>
      </c>
    </row>
    <row r="5" spans="1:5" x14ac:dyDescent="0.3">
      <c r="B5">
        <f>lns!F41</f>
        <v>-0.9949119503423598</v>
      </c>
      <c r="C5">
        <v>2</v>
      </c>
      <c r="D5">
        <f>(C5-0.5)/99</f>
        <v>1.5151515151515152E-2</v>
      </c>
      <c r="E5">
        <f>NORMSINV(D5)</f>
        <v>-2.1661067528923286</v>
      </c>
    </row>
    <row r="6" spans="1:5" x14ac:dyDescent="0.3">
      <c r="B6">
        <f>lns!F54</f>
        <v>-0.79201989867481848</v>
      </c>
      <c r="C6">
        <v>3</v>
      </c>
      <c r="D6">
        <f t="shared" ref="D6:D69" si="0">(C6-0.5)/99</f>
        <v>2.5252525252525252E-2</v>
      </c>
      <c r="E6">
        <f t="shared" ref="E6:E69" si="1">NORMSINV(D6)</f>
        <v>-1.9556614355881679</v>
      </c>
    </row>
    <row r="7" spans="1:5" x14ac:dyDescent="0.3">
      <c r="B7">
        <f>lns!F42</f>
        <v>-0.76937832813319984</v>
      </c>
      <c r="C7">
        <v>4</v>
      </c>
      <c r="D7">
        <f t="shared" si="0"/>
        <v>3.5353535353535352E-2</v>
      </c>
      <c r="E7">
        <f t="shared" si="1"/>
        <v>-1.807354196799112</v>
      </c>
    </row>
    <row r="8" spans="1:5" x14ac:dyDescent="0.3">
      <c r="B8">
        <f>lns!F21</f>
        <v>-0.74866623300503232</v>
      </c>
      <c r="C8">
        <v>5</v>
      </c>
      <c r="D8">
        <f t="shared" si="0"/>
        <v>4.5454545454545456E-2</v>
      </c>
      <c r="E8">
        <f t="shared" si="1"/>
        <v>-1.6906216295848977</v>
      </c>
    </row>
    <row r="9" spans="1:5" x14ac:dyDescent="0.3">
      <c r="B9">
        <f>lns!F26</f>
        <v>-0.73068706709406017</v>
      </c>
      <c r="C9">
        <v>6</v>
      </c>
      <c r="D9">
        <f t="shared" si="0"/>
        <v>5.5555555555555552E-2</v>
      </c>
      <c r="E9">
        <f t="shared" si="1"/>
        <v>-1.5932188180230502</v>
      </c>
    </row>
    <row r="10" spans="1:5" x14ac:dyDescent="0.3">
      <c r="B10">
        <f>lns!F30</f>
        <v>-0.72820664373578636</v>
      </c>
      <c r="C10">
        <v>7</v>
      </c>
      <c r="D10">
        <f t="shared" si="0"/>
        <v>6.5656565656565663E-2</v>
      </c>
      <c r="E10">
        <f t="shared" si="1"/>
        <v>-1.5089438550380374</v>
      </c>
    </row>
    <row r="11" spans="1:5" x14ac:dyDescent="0.3">
      <c r="B11">
        <f>lns!F72</f>
        <v>-0.69957781282575293</v>
      </c>
      <c r="C11">
        <v>8</v>
      </c>
      <c r="D11">
        <f t="shared" si="0"/>
        <v>7.575757575757576E-2</v>
      </c>
      <c r="E11">
        <f t="shared" si="1"/>
        <v>-1.4342001596863787</v>
      </c>
    </row>
    <row r="12" spans="1:5" x14ac:dyDescent="0.3">
      <c r="B12">
        <f>lns!F49</f>
        <v>-0.69020750564133149</v>
      </c>
      <c r="C12">
        <v>9</v>
      </c>
      <c r="D12">
        <f t="shared" si="0"/>
        <v>8.5858585858585856E-2</v>
      </c>
      <c r="E12">
        <f t="shared" si="1"/>
        <v>-1.3667069718079636</v>
      </c>
    </row>
    <row r="13" spans="1:5" x14ac:dyDescent="0.3">
      <c r="B13">
        <f>lns!F94</f>
        <v>-0.6879148928822898</v>
      </c>
      <c r="C13">
        <v>10</v>
      </c>
      <c r="D13">
        <f t="shared" si="0"/>
        <v>9.5959595959595953E-2</v>
      </c>
      <c r="E13">
        <f t="shared" si="1"/>
        <v>-1.304922637752725</v>
      </c>
    </row>
    <row r="14" spans="1:5" x14ac:dyDescent="0.3">
      <c r="B14">
        <f>lns!F70</f>
        <v>-0.66539778129138538</v>
      </c>
      <c r="C14">
        <v>11</v>
      </c>
      <c r="D14">
        <f t="shared" si="0"/>
        <v>0.10606060606060606</v>
      </c>
      <c r="E14">
        <f t="shared" si="1"/>
        <v>-1.2477538553513243</v>
      </c>
    </row>
    <row r="15" spans="1:5" x14ac:dyDescent="0.3">
      <c r="B15">
        <f>lns!F4</f>
        <v>-0.66265677356194652</v>
      </c>
      <c r="C15">
        <v>12</v>
      </c>
      <c r="D15">
        <f t="shared" si="0"/>
        <v>0.11616161616161616</v>
      </c>
      <c r="E15">
        <f t="shared" si="1"/>
        <v>-1.1943956635681565</v>
      </c>
    </row>
    <row r="16" spans="1:5" x14ac:dyDescent="0.3">
      <c r="B16">
        <f>lns!F45</f>
        <v>-0.65692711870737663</v>
      </c>
      <c r="C16">
        <v>13</v>
      </c>
      <c r="D16">
        <f t="shared" si="0"/>
        <v>0.12626262626262627</v>
      </c>
      <c r="E16">
        <f t="shared" si="1"/>
        <v>-1.1442372651002066</v>
      </c>
    </row>
    <row r="17" spans="2:5" x14ac:dyDescent="0.3">
      <c r="B17">
        <f>lns!F44</f>
        <v>-0.64119250493319191</v>
      </c>
      <c r="C17">
        <v>14</v>
      </c>
      <c r="D17">
        <f t="shared" si="0"/>
        <v>0.13636363636363635</v>
      </c>
      <c r="E17">
        <f t="shared" si="1"/>
        <v>-1.096803562093513</v>
      </c>
    </row>
    <row r="18" spans="2:5" x14ac:dyDescent="0.3">
      <c r="B18">
        <f>lns!F40</f>
        <v>-0.63965001647824038</v>
      </c>
      <c r="C18">
        <v>15</v>
      </c>
      <c r="D18">
        <f t="shared" si="0"/>
        <v>0.14646464646464646</v>
      </c>
      <c r="E18">
        <f t="shared" si="1"/>
        <v>-1.0517172529984806</v>
      </c>
    </row>
    <row r="19" spans="2:5" x14ac:dyDescent="0.3">
      <c r="B19">
        <f>lns!F36</f>
        <v>-0.59704277078521484</v>
      </c>
      <c r="C19">
        <v>16</v>
      </c>
      <c r="D19">
        <f t="shared" si="0"/>
        <v>0.15656565656565657</v>
      </c>
      <c r="E19">
        <f t="shared" si="1"/>
        <v>-1.0086733576467986</v>
      </c>
    </row>
    <row r="20" spans="2:5" x14ac:dyDescent="0.3">
      <c r="B20">
        <f>lns!F71</f>
        <v>-0.59467473327075182</v>
      </c>
      <c r="C20">
        <v>17</v>
      </c>
      <c r="D20">
        <f t="shared" si="0"/>
        <v>0.16666666666666666</v>
      </c>
      <c r="E20">
        <f t="shared" si="1"/>
        <v>-0.96742156610170071</v>
      </c>
    </row>
    <row r="21" spans="2:5" x14ac:dyDescent="0.3">
      <c r="B21">
        <f>lns!F31</f>
        <v>-0.59052200252941911</v>
      </c>
      <c r="C21">
        <v>18</v>
      </c>
      <c r="D21">
        <f t="shared" si="0"/>
        <v>0.17676767676767677</v>
      </c>
      <c r="E21">
        <f t="shared" si="1"/>
        <v>-0.92775368535742475</v>
      </c>
    </row>
    <row r="22" spans="2:5" x14ac:dyDescent="0.3">
      <c r="B22">
        <f>lns!F25</f>
        <v>-0.56764644753705606</v>
      </c>
      <c r="C22">
        <v>19</v>
      </c>
      <c r="D22">
        <f t="shared" si="0"/>
        <v>0.18686868686868688</v>
      </c>
      <c r="E22">
        <f t="shared" si="1"/>
        <v>-0.88949450753063364</v>
      </c>
    </row>
    <row r="23" spans="2:5" x14ac:dyDescent="0.3">
      <c r="B23">
        <f>lns!F69</f>
        <v>-0.5645903907801666</v>
      </c>
      <c r="C23">
        <v>20</v>
      </c>
      <c r="D23">
        <f t="shared" si="0"/>
        <v>0.19696969696969696</v>
      </c>
      <c r="E23">
        <f t="shared" si="1"/>
        <v>-0.85249503427469364</v>
      </c>
    </row>
    <row r="24" spans="2:5" x14ac:dyDescent="0.3">
      <c r="B24">
        <f>lns!F35</f>
        <v>-0.56180493236451934</v>
      </c>
      <c r="C24">
        <v>21</v>
      </c>
      <c r="D24">
        <f t="shared" si="0"/>
        <v>0.20707070707070707</v>
      </c>
      <c r="E24">
        <f t="shared" si="1"/>
        <v>-0.81662736084860543</v>
      </c>
    </row>
    <row r="25" spans="2:5" x14ac:dyDescent="0.3">
      <c r="B25">
        <f>lns!F38</f>
        <v>-0.53145359156195815</v>
      </c>
      <c r="C25">
        <v>22</v>
      </c>
      <c r="D25">
        <f t="shared" si="0"/>
        <v>0.21717171717171718</v>
      </c>
      <c r="E25">
        <f t="shared" si="1"/>
        <v>-0.78178075276507197</v>
      </c>
    </row>
    <row r="26" spans="2:5" x14ac:dyDescent="0.3">
      <c r="B26">
        <f>lns!F53</f>
        <v>-0.50009177156302087</v>
      </c>
      <c r="C26">
        <v>23</v>
      </c>
      <c r="D26">
        <f t="shared" si="0"/>
        <v>0.22727272727272727</v>
      </c>
      <c r="E26">
        <f t="shared" si="1"/>
        <v>-0.74785859476330196</v>
      </c>
    </row>
    <row r="27" spans="2:5" x14ac:dyDescent="0.3">
      <c r="B27">
        <f>lns!F48</f>
        <v>-0.47906374845489408</v>
      </c>
      <c r="C27">
        <v>24</v>
      </c>
      <c r="D27">
        <f t="shared" si="0"/>
        <v>0.23737373737373738</v>
      </c>
      <c r="E27">
        <f t="shared" si="1"/>
        <v>-0.71477598810315091</v>
      </c>
    </row>
    <row r="28" spans="2:5" x14ac:dyDescent="0.3">
      <c r="B28">
        <f>lns!F37</f>
        <v>-0.47463835300427826</v>
      </c>
      <c r="C28">
        <v>25</v>
      </c>
      <c r="D28">
        <f t="shared" si="0"/>
        <v>0.24747474747474749</v>
      </c>
      <c r="E28">
        <f t="shared" si="1"/>
        <v>-0.68245783666933024</v>
      </c>
    </row>
    <row r="29" spans="2:5" x14ac:dyDescent="0.3">
      <c r="B29">
        <f>lns!F62</f>
        <v>-0.46398179692724134</v>
      </c>
      <c r="C29">
        <v>26</v>
      </c>
      <c r="D29">
        <f t="shared" si="0"/>
        <v>0.25757575757575757</v>
      </c>
      <c r="E29">
        <f t="shared" si="1"/>
        <v>-0.65083730644447746</v>
      </c>
    </row>
    <row r="30" spans="2:5" x14ac:dyDescent="0.3">
      <c r="B30">
        <f>lns!F28</f>
        <v>-0.41846068602304892</v>
      </c>
      <c r="C30">
        <v>27</v>
      </c>
      <c r="D30">
        <f t="shared" si="0"/>
        <v>0.26767676767676768</v>
      </c>
      <c r="E30">
        <f t="shared" si="1"/>
        <v>-0.61985457356549389</v>
      </c>
    </row>
    <row r="31" spans="2:5" x14ac:dyDescent="0.3">
      <c r="B31">
        <f>lns!F46</f>
        <v>-0.40174254545009497</v>
      </c>
      <c r="C31">
        <v>28</v>
      </c>
      <c r="D31">
        <f t="shared" si="0"/>
        <v>0.27777777777777779</v>
      </c>
      <c r="E31">
        <f t="shared" si="1"/>
        <v>-0.58945579784977842</v>
      </c>
    </row>
    <row r="32" spans="2:5" x14ac:dyDescent="0.3">
      <c r="B32">
        <f>lns!F22</f>
        <v>-0.39488428298897843</v>
      </c>
      <c r="C32">
        <v>29</v>
      </c>
      <c r="D32">
        <f t="shared" si="0"/>
        <v>0.2878787878787879</v>
      </c>
      <c r="E32">
        <f t="shared" si="1"/>
        <v>-0.5595922742274323</v>
      </c>
    </row>
    <row r="33" spans="2:5" x14ac:dyDescent="0.3">
      <c r="B33">
        <f>lns!F66</f>
        <v>-0.3746323603982934</v>
      </c>
      <c r="C33">
        <v>30</v>
      </c>
      <c r="D33">
        <f t="shared" si="0"/>
        <v>0.29797979797979796</v>
      </c>
      <c r="E33">
        <f t="shared" si="1"/>
        <v>-0.53021972582422794</v>
      </c>
    </row>
    <row r="34" spans="2:5" x14ac:dyDescent="0.3">
      <c r="B34">
        <f>lns!F33</f>
        <v>-0.36689412521465103</v>
      </c>
      <c r="C34">
        <v>31</v>
      </c>
      <c r="D34">
        <f t="shared" si="0"/>
        <v>0.30808080808080807</v>
      </c>
      <c r="E34">
        <f t="shared" si="1"/>
        <v>-0.50129771076772867</v>
      </c>
    </row>
    <row r="35" spans="2:5" x14ac:dyDescent="0.3">
      <c r="B35">
        <f>lns!F34</f>
        <v>-0.35002283265835543</v>
      </c>
      <c r="C35">
        <v>32</v>
      </c>
      <c r="D35">
        <f t="shared" si="0"/>
        <v>0.31818181818181818</v>
      </c>
      <c r="E35">
        <f t="shared" si="1"/>
        <v>-0.47278912099226744</v>
      </c>
    </row>
    <row r="36" spans="2:5" x14ac:dyDescent="0.3">
      <c r="B36">
        <f>lns!F73</f>
        <v>-0.3416061928503637</v>
      </c>
      <c r="C36">
        <v>33</v>
      </c>
      <c r="D36">
        <f t="shared" si="0"/>
        <v>0.32828282828282829</v>
      </c>
      <c r="E36">
        <f t="shared" si="1"/>
        <v>-0.4446597559886718</v>
      </c>
    </row>
    <row r="37" spans="2:5" x14ac:dyDescent="0.3">
      <c r="B37">
        <f>lns!F56</f>
        <v>-0.32927380759079322</v>
      </c>
      <c r="C37">
        <v>34</v>
      </c>
      <c r="D37">
        <f t="shared" si="0"/>
        <v>0.3383838383838384</v>
      </c>
      <c r="E37">
        <f t="shared" si="1"/>
        <v>-0.41687795799540722</v>
      </c>
    </row>
    <row r="38" spans="2:5" x14ac:dyDescent="0.3">
      <c r="B38">
        <f>lns!F55</f>
        <v>-0.32289897157637437</v>
      </c>
      <c r="C38">
        <v>35</v>
      </c>
      <c r="D38">
        <f t="shared" si="0"/>
        <v>0.34848484848484851</v>
      </c>
      <c r="E38">
        <f t="shared" si="1"/>
        <v>-0.38941429785214438</v>
      </c>
    </row>
    <row r="39" spans="2:5" x14ac:dyDescent="0.3">
      <c r="B39">
        <f>lns!F90</f>
        <v>-0.31720151546790976</v>
      </c>
      <c r="C39">
        <v>36</v>
      </c>
      <c r="D39">
        <f t="shared" si="0"/>
        <v>0.35858585858585856</v>
      </c>
      <c r="E39">
        <f t="shared" si="1"/>
        <v>-0.3622413028447366</v>
      </c>
    </row>
    <row r="40" spans="2:5" x14ac:dyDescent="0.3">
      <c r="B40">
        <f>lns!F19</f>
        <v>-0.31626812130468479</v>
      </c>
      <c r="C40">
        <v>37</v>
      </c>
      <c r="D40">
        <f t="shared" si="0"/>
        <v>0.36868686868686867</v>
      </c>
      <c r="E40">
        <f t="shared" si="1"/>
        <v>-0.33533321951439826</v>
      </c>
    </row>
    <row r="41" spans="2:5" x14ac:dyDescent="0.3">
      <c r="B41">
        <f>lns!F82</f>
        <v>-0.31191738961764515</v>
      </c>
      <c r="C41">
        <v>38</v>
      </c>
      <c r="D41">
        <f t="shared" si="0"/>
        <v>0.37878787878787878</v>
      </c>
      <c r="E41">
        <f t="shared" si="1"/>
        <v>-0.30866580569493407</v>
      </c>
    </row>
    <row r="42" spans="2:5" x14ac:dyDescent="0.3">
      <c r="B42">
        <f>lns!F43</f>
        <v>-0.29815808811966943</v>
      </c>
      <c r="C42">
        <v>39</v>
      </c>
      <c r="D42">
        <f t="shared" si="0"/>
        <v>0.3888888888888889</v>
      </c>
      <c r="E42">
        <f t="shared" si="1"/>
        <v>-0.28221614706250814</v>
      </c>
    </row>
    <row r="43" spans="2:5" x14ac:dyDescent="0.3">
      <c r="B43">
        <f>lns!F13</f>
        <v>-0.29130328781166132</v>
      </c>
      <c r="C43">
        <v>40</v>
      </c>
      <c r="D43">
        <f t="shared" si="0"/>
        <v>0.39898989898989901</v>
      </c>
      <c r="E43">
        <f t="shared" si="1"/>
        <v>-0.25596249429406465</v>
      </c>
    </row>
    <row r="44" spans="2:5" x14ac:dyDescent="0.3">
      <c r="B44">
        <f>lns!F81</f>
        <v>-0.28700896570562973</v>
      </c>
      <c r="C44">
        <v>41</v>
      </c>
      <c r="D44">
        <f t="shared" si="0"/>
        <v>0.40909090909090912</v>
      </c>
      <c r="E44">
        <f t="shared" si="1"/>
        <v>-0.22988411757923208</v>
      </c>
    </row>
    <row r="45" spans="2:5" x14ac:dyDescent="0.3">
      <c r="B45">
        <f>lns!F83</f>
        <v>-0.27786640413055114</v>
      </c>
      <c r="C45">
        <v>42</v>
      </c>
      <c r="D45">
        <f t="shared" si="0"/>
        <v>0.41919191919191917</v>
      </c>
      <c r="E45">
        <f t="shared" si="1"/>
        <v>-0.20396117575131437</v>
      </c>
    </row>
    <row r="46" spans="2:5" x14ac:dyDescent="0.3">
      <c r="B46">
        <f>lns!F18</f>
        <v>-0.26702882664197186</v>
      </c>
      <c r="C46">
        <v>43</v>
      </c>
      <c r="D46">
        <f t="shared" si="0"/>
        <v>0.42929292929292928</v>
      </c>
      <c r="E46">
        <f t="shared" si="1"/>
        <v>-0.17817459772241043</v>
      </c>
    </row>
    <row r="47" spans="2:5" x14ac:dyDescent="0.3">
      <c r="B47">
        <f>lns!F20</f>
        <v>-0.26067020020498322</v>
      </c>
      <c r="C47">
        <v>44</v>
      </c>
      <c r="D47">
        <f t="shared" si="0"/>
        <v>0.43939393939393939</v>
      </c>
      <c r="E47">
        <f t="shared" si="1"/>
        <v>-0.15250597424624437</v>
      </c>
    </row>
    <row r="48" spans="2:5" x14ac:dyDescent="0.3">
      <c r="B48">
        <f>lns!F52</f>
        <v>-0.25739343951408333</v>
      </c>
      <c r="C48">
        <v>45</v>
      </c>
      <c r="D48">
        <f t="shared" si="0"/>
        <v>0.4494949494949495</v>
      </c>
      <c r="E48">
        <f t="shared" si="1"/>
        <v>-0.12693745830564304</v>
      </c>
    </row>
    <row r="49" spans="2:5" x14ac:dyDescent="0.3">
      <c r="B49">
        <f>lns!F91</f>
        <v>-0.25474258340998246</v>
      </c>
      <c r="C49">
        <v>46</v>
      </c>
      <c r="D49">
        <f t="shared" si="0"/>
        <v>0.45959595959595961</v>
      </c>
      <c r="E49">
        <f t="shared" si="1"/>
        <v>-0.1014516726419474</v>
      </c>
    </row>
    <row r="50" spans="2:5" x14ac:dyDescent="0.3">
      <c r="B50">
        <f>lns!F24</f>
        <v>-0.25216822122982613</v>
      </c>
      <c r="C50">
        <v>47</v>
      </c>
      <c r="D50">
        <f t="shared" si="0"/>
        <v>0.46969696969696972</v>
      </c>
      <c r="E50">
        <f t="shared" si="1"/>
        <v>-7.60316231203884E-2</v>
      </c>
    </row>
    <row r="51" spans="2:5" x14ac:dyDescent="0.3">
      <c r="B51">
        <f>lns!F61</f>
        <v>-0.21830029881929525</v>
      </c>
      <c r="C51">
        <v>48</v>
      </c>
      <c r="D51">
        <f t="shared" si="0"/>
        <v>0.47979797979797978</v>
      </c>
      <c r="E51">
        <f t="shared" si="1"/>
        <v>-5.0660616765876576E-2</v>
      </c>
    </row>
    <row r="52" spans="2:5" x14ac:dyDescent="0.3">
      <c r="B52">
        <f>lns!F27</f>
        <v>-0.21735533540360855</v>
      </c>
      <c r="C52">
        <v>49</v>
      </c>
      <c r="D52">
        <f t="shared" si="0"/>
        <v>0.48989898989898989</v>
      </c>
      <c r="E52">
        <f t="shared" si="1"/>
        <v>-2.5322183413346296E-2</v>
      </c>
    </row>
    <row r="53" spans="2:5" x14ac:dyDescent="0.3">
      <c r="B53">
        <f>lns!F32</f>
        <v>-0.21594576762181972</v>
      </c>
      <c r="C53">
        <v>50</v>
      </c>
      <c r="D53">
        <f t="shared" si="0"/>
        <v>0.5</v>
      </c>
      <c r="E53">
        <f t="shared" si="1"/>
        <v>0</v>
      </c>
    </row>
    <row r="54" spans="2:5" x14ac:dyDescent="0.3">
      <c r="B54">
        <f>lns!F63</f>
        <v>-0.20747076360760525</v>
      </c>
      <c r="C54">
        <v>51</v>
      </c>
      <c r="D54">
        <f t="shared" si="0"/>
        <v>0.51010101010101006</v>
      </c>
      <c r="E54">
        <f t="shared" si="1"/>
        <v>2.5322183413346164E-2</v>
      </c>
    </row>
    <row r="55" spans="2:5" x14ac:dyDescent="0.3">
      <c r="B55">
        <f>lns!F89</f>
        <v>-0.20335317899508276</v>
      </c>
      <c r="C55">
        <v>52</v>
      </c>
      <c r="D55">
        <f t="shared" si="0"/>
        <v>0.52020202020202022</v>
      </c>
      <c r="E55">
        <f t="shared" si="1"/>
        <v>5.0660616765876576E-2</v>
      </c>
    </row>
    <row r="56" spans="2:5" x14ac:dyDescent="0.3">
      <c r="B56">
        <f>lns!F68</f>
        <v>-0.19870218979694093</v>
      </c>
      <c r="C56">
        <v>53</v>
      </c>
      <c r="D56">
        <f t="shared" si="0"/>
        <v>0.53030303030303028</v>
      </c>
      <c r="E56">
        <f t="shared" si="1"/>
        <v>7.60316231203884E-2</v>
      </c>
    </row>
    <row r="57" spans="2:5" x14ac:dyDescent="0.3">
      <c r="B57">
        <f>lns!F96</f>
        <v>-0.18872642423703687</v>
      </c>
      <c r="C57">
        <v>54</v>
      </c>
      <c r="D57">
        <f t="shared" si="0"/>
        <v>0.54040404040404044</v>
      </c>
      <c r="E57">
        <f t="shared" si="1"/>
        <v>0.10145167264194754</v>
      </c>
    </row>
    <row r="58" spans="2:5" x14ac:dyDescent="0.3">
      <c r="B58">
        <f>lns!F60</f>
        <v>-0.15593944538154192</v>
      </c>
      <c r="C58">
        <v>55</v>
      </c>
      <c r="D58">
        <f t="shared" si="0"/>
        <v>0.5505050505050505</v>
      </c>
      <c r="E58">
        <f t="shared" si="1"/>
        <v>0.12693745830564304</v>
      </c>
    </row>
    <row r="59" spans="2:5" x14ac:dyDescent="0.3">
      <c r="B59">
        <f>lns!F67</f>
        <v>-0.14534605454909469</v>
      </c>
      <c r="C59">
        <v>56</v>
      </c>
      <c r="D59">
        <f t="shared" si="0"/>
        <v>0.56060606060606055</v>
      </c>
      <c r="E59">
        <f t="shared" si="1"/>
        <v>0.15250597424624424</v>
      </c>
    </row>
    <row r="60" spans="2:5" x14ac:dyDescent="0.3">
      <c r="B60">
        <f>lns!F93</f>
        <v>-0.12692015225791139</v>
      </c>
      <c r="C60">
        <v>57</v>
      </c>
      <c r="D60">
        <f t="shared" si="0"/>
        <v>0.57070707070707072</v>
      </c>
      <c r="E60">
        <f t="shared" si="1"/>
        <v>0.17817459772241043</v>
      </c>
    </row>
    <row r="61" spans="2:5" x14ac:dyDescent="0.3">
      <c r="B61">
        <f>lns!F58</f>
        <v>-0.11971189470953102</v>
      </c>
      <c r="C61">
        <v>58</v>
      </c>
      <c r="D61">
        <f t="shared" si="0"/>
        <v>0.58080808080808077</v>
      </c>
      <c r="E61">
        <f t="shared" si="1"/>
        <v>0.2039611757513142</v>
      </c>
    </row>
    <row r="62" spans="2:5" x14ac:dyDescent="0.3">
      <c r="B62">
        <f>lns!F101</f>
        <v>-0.11847277347083017</v>
      </c>
      <c r="C62">
        <v>59</v>
      </c>
      <c r="D62">
        <f t="shared" si="0"/>
        <v>0.59090909090909094</v>
      </c>
      <c r="E62">
        <f t="shared" si="1"/>
        <v>0.22988411757923222</v>
      </c>
    </row>
    <row r="63" spans="2:5" x14ac:dyDescent="0.3">
      <c r="B63">
        <f>lns!F5</f>
        <v>-0.1182060000932309</v>
      </c>
      <c r="C63">
        <v>60</v>
      </c>
      <c r="D63">
        <f t="shared" si="0"/>
        <v>0.60101010101010099</v>
      </c>
      <c r="E63">
        <f t="shared" si="1"/>
        <v>0.25596249429406465</v>
      </c>
    </row>
    <row r="64" spans="2:5" x14ac:dyDescent="0.3">
      <c r="B64">
        <f>lns!F100</f>
        <v>-0.11196225929238871</v>
      </c>
      <c r="C64">
        <v>61</v>
      </c>
      <c r="D64">
        <f t="shared" si="0"/>
        <v>0.61111111111111116</v>
      </c>
      <c r="E64">
        <f t="shared" si="1"/>
        <v>0.28221614706250825</v>
      </c>
    </row>
    <row r="65" spans="2:5" x14ac:dyDescent="0.3">
      <c r="B65">
        <f>lns!F80</f>
        <v>-9.7422108356305603E-2</v>
      </c>
      <c r="C65">
        <v>62</v>
      </c>
      <c r="D65">
        <f t="shared" si="0"/>
        <v>0.62121212121212122</v>
      </c>
      <c r="E65">
        <f t="shared" si="1"/>
        <v>0.30866580569493407</v>
      </c>
    </row>
    <row r="66" spans="2:5" x14ac:dyDescent="0.3">
      <c r="B66">
        <f>lns!F98</f>
        <v>-9.1749127882761239E-2</v>
      </c>
      <c r="C66">
        <v>63</v>
      </c>
      <c r="D66">
        <f t="shared" si="0"/>
        <v>0.63131313131313127</v>
      </c>
      <c r="E66">
        <f t="shared" si="1"/>
        <v>0.3353332195143981</v>
      </c>
    </row>
    <row r="67" spans="2:5" x14ac:dyDescent="0.3">
      <c r="B67">
        <f>lns!F65</f>
        <v>-8.1613607557587745E-2</v>
      </c>
      <c r="C67">
        <v>64</v>
      </c>
      <c r="D67">
        <f t="shared" si="0"/>
        <v>0.64141414141414144</v>
      </c>
      <c r="E67">
        <f t="shared" si="1"/>
        <v>0.3622413028447366</v>
      </c>
    </row>
    <row r="68" spans="2:5" x14ac:dyDescent="0.3">
      <c r="B68">
        <f>lns!F12</f>
        <v>-7.6669403666469543E-2</v>
      </c>
      <c r="C68">
        <v>65</v>
      </c>
      <c r="D68">
        <f t="shared" si="0"/>
        <v>0.65151515151515149</v>
      </c>
      <c r="E68">
        <f t="shared" si="1"/>
        <v>0.38941429785214438</v>
      </c>
    </row>
    <row r="69" spans="2:5" x14ac:dyDescent="0.3">
      <c r="B69">
        <f>lns!F47</f>
        <v>-6.9083232712261147E-2</v>
      </c>
      <c r="C69">
        <v>66</v>
      </c>
      <c r="D69">
        <f t="shared" si="0"/>
        <v>0.66161616161616166</v>
      </c>
      <c r="E69">
        <f t="shared" si="1"/>
        <v>0.41687795799540739</v>
      </c>
    </row>
    <row r="70" spans="2:5" x14ac:dyDescent="0.3">
      <c r="B70">
        <f>lns!F50</f>
        <v>-3.8072652427267963E-2</v>
      </c>
      <c r="C70">
        <v>67</v>
      </c>
      <c r="D70">
        <f t="shared" ref="D70:D102" si="2">(C70-0.5)/99</f>
        <v>0.67171717171717171</v>
      </c>
      <c r="E70">
        <f t="shared" ref="E70:E102" si="3">NORMSINV(D70)</f>
        <v>0.4446597559886718</v>
      </c>
    </row>
    <row r="71" spans="2:5" x14ac:dyDescent="0.3">
      <c r="B71">
        <f>lns!F74</f>
        <v>-2.0090468718547437E-2</v>
      </c>
      <c r="C71">
        <v>68</v>
      </c>
      <c r="D71">
        <f t="shared" si="2"/>
        <v>0.68181818181818177</v>
      </c>
      <c r="E71">
        <f t="shared" si="3"/>
        <v>0.47278912099226728</v>
      </c>
    </row>
    <row r="72" spans="2:5" x14ac:dyDescent="0.3">
      <c r="B72">
        <f>lns!F39</f>
        <v>-1.5477155651302891E-2</v>
      </c>
      <c r="C72">
        <v>69</v>
      </c>
      <c r="D72">
        <f t="shared" si="2"/>
        <v>0.69191919191919193</v>
      </c>
      <c r="E72">
        <f t="shared" si="3"/>
        <v>0.50129771076772867</v>
      </c>
    </row>
    <row r="73" spans="2:5" x14ac:dyDescent="0.3">
      <c r="B73">
        <f>lns!F92</f>
        <v>-1.1911663008212413E-2</v>
      </c>
      <c r="C73">
        <v>70</v>
      </c>
      <c r="D73">
        <f t="shared" si="2"/>
        <v>0.70202020202020199</v>
      </c>
      <c r="E73">
        <f t="shared" si="3"/>
        <v>0.53021972582422772</v>
      </c>
    </row>
    <row r="74" spans="2:5" x14ac:dyDescent="0.3">
      <c r="B74">
        <f>lns!F59</f>
        <v>3.5444360933194599E-2</v>
      </c>
      <c r="C74">
        <v>71</v>
      </c>
      <c r="D74">
        <f t="shared" si="2"/>
        <v>0.71212121212121215</v>
      </c>
      <c r="E74">
        <f t="shared" si="3"/>
        <v>0.55959227422743252</v>
      </c>
    </row>
    <row r="75" spans="2:5" x14ac:dyDescent="0.3">
      <c r="B75">
        <f>lns!F76</f>
        <v>3.8720588111598959E-2</v>
      </c>
      <c r="C75">
        <v>72</v>
      </c>
      <c r="D75">
        <f t="shared" si="2"/>
        <v>0.72222222222222221</v>
      </c>
      <c r="E75">
        <f t="shared" si="3"/>
        <v>0.58945579784977842</v>
      </c>
    </row>
    <row r="76" spans="2:5" x14ac:dyDescent="0.3">
      <c r="B76">
        <f>lns!F95</f>
        <v>8.0187312602355176E-2</v>
      </c>
      <c r="C76">
        <v>73</v>
      </c>
      <c r="D76">
        <f t="shared" si="2"/>
        <v>0.73232323232323238</v>
      </c>
      <c r="E76">
        <f t="shared" si="3"/>
        <v>0.61985457356549423</v>
      </c>
    </row>
    <row r="77" spans="2:5" x14ac:dyDescent="0.3">
      <c r="B77">
        <f>lns!F102</f>
        <v>0.11121037183584638</v>
      </c>
      <c r="C77">
        <v>74</v>
      </c>
      <c r="D77">
        <f t="shared" si="2"/>
        <v>0.74242424242424243</v>
      </c>
      <c r="E77">
        <f t="shared" si="3"/>
        <v>0.65083730644447746</v>
      </c>
    </row>
    <row r="78" spans="2:5" x14ac:dyDescent="0.3">
      <c r="B78">
        <f>lns!F7</f>
        <v>0.11978103831905659</v>
      </c>
      <c r="C78">
        <v>75</v>
      </c>
      <c r="D78">
        <f t="shared" si="2"/>
        <v>0.75252525252525249</v>
      </c>
      <c r="E78">
        <f t="shared" si="3"/>
        <v>0.68245783666933024</v>
      </c>
    </row>
    <row r="79" spans="2:5" x14ac:dyDescent="0.3">
      <c r="B79">
        <f>lns!F17</f>
        <v>0.13824775309069876</v>
      </c>
      <c r="C79">
        <v>76</v>
      </c>
      <c r="D79">
        <f t="shared" si="2"/>
        <v>0.76262626262626265</v>
      </c>
      <c r="E79">
        <f t="shared" si="3"/>
        <v>0.71477598810315091</v>
      </c>
    </row>
    <row r="80" spans="2:5" x14ac:dyDescent="0.3">
      <c r="B80">
        <f>lns!F51</f>
        <v>0.1488854140401166</v>
      </c>
      <c r="C80">
        <v>77</v>
      </c>
      <c r="D80">
        <f t="shared" si="2"/>
        <v>0.77272727272727271</v>
      </c>
      <c r="E80">
        <f t="shared" si="3"/>
        <v>0.74785859476330196</v>
      </c>
    </row>
    <row r="81" spans="2:5" x14ac:dyDescent="0.3">
      <c r="B81">
        <f>lns!F57</f>
        <v>0.14919556636185308</v>
      </c>
      <c r="C81">
        <v>78</v>
      </c>
      <c r="D81">
        <f t="shared" si="2"/>
        <v>0.78282828282828287</v>
      </c>
      <c r="E81">
        <f t="shared" si="3"/>
        <v>0.78178075276507275</v>
      </c>
    </row>
    <row r="82" spans="2:5" x14ac:dyDescent="0.3">
      <c r="B82">
        <f>lns!F84</f>
        <v>0.16699639069120875</v>
      </c>
      <c r="C82">
        <v>79</v>
      </c>
      <c r="D82">
        <f t="shared" si="2"/>
        <v>0.79292929292929293</v>
      </c>
      <c r="E82">
        <f t="shared" si="3"/>
        <v>0.81662736084860543</v>
      </c>
    </row>
    <row r="83" spans="2:5" x14ac:dyDescent="0.3">
      <c r="B83">
        <f>lns!F78</f>
        <v>0.18595660864699909</v>
      </c>
      <c r="C83">
        <v>80</v>
      </c>
      <c r="D83">
        <f t="shared" si="2"/>
        <v>0.80303030303030298</v>
      </c>
      <c r="E83">
        <f t="shared" si="3"/>
        <v>0.85249503427469353</v>
      </c>
    </row>
    <row r="84" spans="2:5" x14ac:dyDescent="0.3">
      <c r="B84">
        <f>lns!F87</f>
        <v>0.22766929467060426</v>
      </c>
      <c r="C84">
        <v>81</v>
      </c>
      <c r="D84">
        <f t="shared" si="2"/>
        <v>0.81313131313131315</v>
      </c>
      <c r="E84">
        <f t="shared" si="3"/>
        <v>0.88949450753063364</v>
      </c>
    </row>
    <row r="85" spans="2:5" x14ac:dyDescent="0.3">
      <c r="B85">
        <f>lns!F75</f>
        <v>0.2579313767998736</v>
      </c>
      <c r="C85">
        <v>82</v>
      </c>
      <c r="D85">
        <f t="shared" si="2"/>
        <v>0.8232323232323232</v>
      </c>
      <c r="E85">
        <f t="shared" si="3"/>
        <v>0.92775368535742475</v>
      </c>
    </row>
    <row r="86" spans="2:5" x14ac:dyDescent="0.3">
      <c r="B86">
        <f>lns!F23</f>
        <v>0.26979810335322024</v>
      </c>
      <c r="C86">
        <v>83</v>
      </c>
      <c r="D86">
        <f t="shared" si="2"/>
        <v>0.83333333333333337</v>
      </c>
      <c r="E86">
        <f t="shared" si="3"/>
        <v>0.96742156610170071</v>
      </c>
    </row>
    <row r="87" spans="2:5" x14ac:dyDescent="0.3">
      <c r="B87">
        <f>lns!F77</f>
        <v>0.30472353830663262</v>
      </c>
      <c r="C87">
        <v>84</v>
      </c>
      <c r="D87">
        <f t="shared" si="2"/>
        <v>0.84343434343434343</v>
      </c>
      <c r="E87">
        <f t="shared" si="3"/>
        <v>1.0086733576467986</v>
      </c>
    </row>
    <row r="88" spans="2:5" x14ac:dyDescent="0.3">
      <c r="B88">
        <f>lns!F99</f>
        <v>0.30737439954747015</v>
      </c>
      <c r="C88">
        <v>85</v>
      </c>
      <c r="D88">
        <f t="shared" si="2"/>
        <v>0.85353535353535348</v>
      </c>
      <c r="E88">
        <f t="shared" si="3"/>
        <v>1.0517172529984837</v>
      </c>
    </row>
    <row r="89" spans="2:5" x14ac:dyDescent="0.3">
      <c r="B89">
        <f>lns!F16</f>
        <v>0.32699172395762199</v>
      </c>
      <c r="C89">
        <v>86</v>
      </c>
      <c r="D89">
        <f t="shared" si="2"/>
        <v>0.86363636363636365</v>
      </c>
      <c r="E89">
        <f t="shared" si="3"/>
        <v>1.096803562093513</v>
      </c>
    </row>
    <row r="90" spans="2:5" x14ac:dyDescent="0.3">
      <c r="B90">
        <f>lns!F79</f>
        <v>0.34467422247066642</v>
      </c>
      <c r="C90">
        <v>87</v>
      </c>
      <c r="D90">
        <f t="shared" si="2"/>
        <v>0.8737373737373737</v>
      </c>
      <c r="E90">
        <f t="shared" si="3"/>
        <v>1.1442372651002066</v>
      </c>
    </row>
    <row r="91" spans="2:5" x14ac:dyDescent="0.3">
      <c r="B91">
        <f>lns!F88</f>
        <v>0.39040561434837506</v>
      </c>
      <c r="C91">
        <v>88</v>
      </c>
      <c r="D91">
        <f t="shared" si="2"/>
        <v>0.88383838383838387</v>
      </c>
      <c r="E91">
        <f t="shared" si="3"/>
        <v>1.1943956635681565</v>
      </c>
    </row>
    <row r="92" spans="2:5" x14ac:dyDescent="0.3">
      <c r="B92">
        <f>lns!F14</f>
        <v>0.4269395397747085</v>
      </c>
      <c r="C92">
        <v>89</v>
      </c>
      <c r="D92">
        <f t="shared" si="2"/>
        <v>0.89393939393939392</v>
      </c>
      <c r="E92">
        <f t="shared" si="3"/>
        <v>1.2477538553513243</v>
      </c>
    </row>
    <row r="93" spans="2:5" x14ac:dyDescent="0.3">
      <c r="B93">
        <f>lns!F11</f>
        <v>0.4359296489119841</v>
      </c>
      <c r="C93">
        <v>90</v>
      </c>
      <c r="D93">
        <f t="shared" si="2"/>
        <v>0.90404040404040409</v>
      </c>
      <c r="E93">
        <f t="shared" si="3"/>
        <v>1.3049226377527239</v>
      </c>
    </row>
    <row r="94" spans="2:5" x14ac:dyDescent="0.3">
      <c r="B94">
        <f>lns!F6</f>
        <v>0.50430239368864604</v>
      </c>
      <c r="C94">
        <v>91</v>
      </c>
      <c r="D94">
        <f t="shared" si="2"/>
        <v>0.91414141414141414</v>
      </c>
      <c r="E94">
        <f t="shared" si="3"/>
        <v>1.3667069718079636</v>
      </c>
    </row>
    <row r="95" spans="2:5" x14ac:dyDescent="0.3">
      <c r="B95">
        <f>lns!F15</f>
        <v>0.54468197442012123</v>
      </c>
      <c r="C95">
        <v>92</v>
      </c>
      <c r="D95">
        <f t="shared" si="2"/>
        <v>0.9242424242424242</v>
      </c>
      <c r="E95">
        <f t="shared" si="3"/>
        <v>1.434200159686378</v>
      </c>
    </row>
    <row r="96" spans="2:5" x14ac:dyDescent="0.3">
      <c r="B96">
        <f>lns!F64</f>
        <v>0.55465493178261205</v>
      </c>
      <c r="C96">
        <v>93</v>
      </c>
      <c r="D96">
        <f t="shared" si="2"/>
        <v>0.93434343434343436</v>
      </c>
      <c r="E96">
        <f t="shared" si="3"/>
        <v>1.5089438550380383</v>
      </c>
    </row>
    <row r="97" spans="2:5" x14ac:dyDescent="0.3">
      <c r="B97">
        <f>lns!F86</f>
        <v>0.62619508242064592</v>
      </c>
      <c r="C97">
        <v>94</v>
      </c>
      <c r="D97">
        <f t="shared" si="2"/>
        <v>0.94444444444444442</v>
      </c>
      <c r="E97">
        <f t="shared" si="3"/>
        <v>1.59321881802305</v>
      </c>
    </row>
    <row r="98" spans="2:5" x14ac:dyDescent="0.3">
      <c r="B98">
        <f>lns!F8</f>
        <v>0.79123078359539534</v>
      </c>
      <c r="C98">
        <v>95</v>
      </c>
      <c r="D98">
        <f t="shared" si="2"/>
        <v>0.95454545454545459</v>
      </c>
      <c r="E98">
        <f t="shared" si="3"/>
        <v>1.6906216295848984</v>
      </c>
    </row>
    <row r="99" spans="2:5" x14ac:dyDescent="0.3">
      <c r="B99">
        <f>lns!F97</f>
        <v>0.8459541008037037</v>
      </c>
      <c r="C99">
        <v>96</v>
      </c>
      <c r="D99">
        <f t="shared" si="2"/>
        <v>0.96464646464646464</v>
      </c>
      <c r="E99">
        <f t="shared" si="3"/>
        <v>1.807354196799112</v>
      </c>
    </row>
    <row r="100" spans="2:5" x14ac:dyDescent="0.3">
      <c r="B100">
        <f>lns!F85</f>
        <v>0.98236682034900447</v>
      </c>
      <c r="C100">
        <v>97</v>
      </c>
      <c r="D100">
        <f t="shared" si="2"/>
        <v>0.9747474747474747</v>
      </c>
      <c r="E100">
        <f t="shared" si="3"/>
        <v>1.9556614355881674</v>
      </c>
    </row>
    <row r="101" spans="2:5" x14ac:dyDescent="0.3">
      <c r="B101">
        <f>lns!F9</f>
        <v>1.1277179138067635</v>
      </c>
      <c r="C101">
        <v>98</v>
      </c>
      <c r="D101">
        <f t="shared" si="2"/>
        <v>0.98484848484848486</v>
      </c>
      <c r="E101">
        <f t="shared" si="3"/>
        <v>2.166106752892329</v>
      </c>
    </row>
    <row r="102" spans="2:5" x14ac:dyDescent="0.3">
      <c r="B102">
        <f>lns!F10</f>
        <v>1.1491596382413256</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8B28-0819-414D-A5B7-BFB3F2A08B11}">
  <dimension ref="B3:E102"/>
  <sheetViews>
    <sheetView zoomScaleNormal="100" workbookViewId="0">
      <selection activeCell="N13" sqref="N13"/>
    </sheetView>
  </sheetViews>
  <sheetFormatPr defaultRowHeight="14.4" x14ac:dyDescent="0.3"/>
  <cols>
    <col min="2" max="2" width="16.5546875" customWidth="1"/>
    <col min="4" max="4" width="15" customWidth="1"/>
    <col min="5" max="5" width="17.6640625" customWidth="1"/>
  </cols>
  <sheetData>
    <row r="3" spans="2:5" x14ac:dyDescent="0.3">
      <c r="B3" t="s">
        <v>25</v>
      </c>
      <c r="C3" t="s">
        <v>14</v>
      </c>
      <c r="D3" t="s">
        <v>15</v>
      </c>
      <c r="E3" t="s">
        <v>16</v>
      </c>
    </row>
    <row r="4" spans="2:5" x14ac:dyDescent="0.3">
      <c r="B4">
        <f>lns!G41</f>
        <v>-0.94641494392970682</v>
      </c>
      <c r="C4">
        <v>1</v>
      </c>
      <c r="D4">
        <f>(C4-0.5)/99</f>
        <v>5.0505050505050509E-3</v>
      </c>
      <c r="E4">
        <f>NORMSINV(D4)</f>
        <v>-2.5723521109428895</v>
      </c>
    </row>
    <row r="5" spans="2:5" x14ac:dyDescent="0.3">
      <c r="B5">
        <f>lns!G54</f>
        <v>-0.77116277754468421</v>
      </c>
      <c r="C5">
        <v>2</v>
      </c>
      <c r="D5">
        <f>(C5-0.5)/99</f>
        <v>1.5151515151515152E-2</v>
      </c>
      <c r="E5">
        <f>NORMSINV(D5)</f>
        <v>-2.1661067528923286</v>
      </c>
    </row>
    <row r="6" spans="2:5" x14ac:dyDescent="0.3">
      <c r="B6">
        <f>lns!G72</f>
        <v>-0.75304581596829667</v>
      </c>
      <c r="C6">
        <v>3</v>
      </c>
      <c r="D6">
        <f t="shared" ref="D6:D69" si="0">(C6-0.5)/99</f>
        <v>2.5252525252525252E-2</v>
      </c>
      <c r="E6">
        <f t="shared" ref="E6:E69" si="1">NORMSINV(D6)</f>
        <v>-1.9556614355881679</v>
      </c>
    </row>
    <row r="7" spans="2:5" x14ac:dyDescent="0.3">
      <c r="B7">
        <f>lns!G42</f>
        <v>-0.70917494163714256</v>
      </c>
      <c r="C7">
        <v>4</v>
      </c>
      <c r="D7">
        <f t="shared" si="0"/>
        <v>3.5353535353535352E-2</v>
      </c>
      <c r="E7">
        <f t="shared" si="1"/>
        <v>-1.807354196799112</v>
      </c>
    </row>
    <row r="8" spans="2:5" x14ac:dyDescent="0.3">
      <c r="B8">
        <f>lns!G35</f>
        <v>-0.68920296919822355</v>
      </c>
      <c r="C8">
        <v>5</v>
      </c>
      <c r="D8">
        <f t="shared" si="0"/>
        <v>4.5454545454545456E-2</v>
      </c>
      <c r="E8">
        <f t="shared" si="1"/>
        <v>-1.6906216295848977</v>
      </c>
    </row>
    <row r="9" spans="2:5" x14ac:dyDescent="0.3">
      <c r="B9">
        <f>lns!G4</f>
        <v>-0.67026303152274813</v>
      </c>
      <c r="C9">
        <v>6</v>
      </c>
      <c r="D9">
        <f t="shared" si="0"/>
        <v>5.5555555555555552E-2</v>
      </c>
      <c r="E9">
        <f t="shared" si="1"/>
        <v>-1.5932188180230502</v>
      </c>
    </row>
    <row r="10" spans="2:5" x14ac:dyDescent="0.3">
      <c r="B10">
        <f>lns!G49</f>
        <v>-0.66800393781127954</v>
      </c>
      <c r="C10">
        <v>7</v>
      </c>
      <c r="D10">
        <f t="shared" si="0"/>
        <v>6.5656565656565663E-2</v>
      </c>
      <c r="E10">
        <f t="shared" si="1"/>
        <v>-1.5089438550380374</v>
      </c>
    </row>
    <row r="11" spans="2:5" x14ac:dyDescent="0.3">
      <c r="B11">
        <f>lns!G70</f>
        <v>-0.65712581062078712</v>
      </c>
      <c r="C11">
        <v>8</v>
      </c>
      <c r="D11">
        <f t="shared" si="0"/>
        <v>7.575757575757576E-2</v>
      </c>
      <c r="E11">
        <f t="shared" si="1"/>
        <v>-1.4342001596863787</v>
      </c>
    </row>
    <row r="12" spans="2:5" x14ac:dyDescent="0.3">
      <c r="B12">
        <f>lns!G94</f>
        <v>-0.65630043688985196</v>
      </c>
      <c r="C12">
        <v>9</v>
      </c>
      <c r="D12">
        <f t="shared" si="0"/>
        <v>8.5858585858585856E-2</v>
      </c>
      <c r="E12">
        <f t="shared" si="1"/>
        <v>-1.3667069718079636</v>
      </c>
    </row>
    <row r="13" spans="2:5" x14ac:dyDescent="0.3">
      <c r="B13">
        <f>lns!G38</f>
        <v>-0.64001976919373582</v>
      </c>
      <c r="C13">
        <v>10</v>
      </c>
      <c r="D13">
        <f t="shared" si="0"/>
        <v>9.5959595959595953E-2</v>
      </c>
      <c r="E13">
        <f t="shared" si="1"/>
        <v>-1.304922637752725</v>
      </c>
    </row>
    <row r="14" spans="2:5" x14ac:dyDescent="0.3">
      <c r="B14">
        <f>lns!G21</f>
        <v>-0.62800946397582635</v>
      </c>
      <c r="C14">
        <v>11</v>
      </c>
      <c r="D14">
        <f t="shared" si="0"/>
        <v>0.10606060606060606</v>
      </c>
      <c r="E14">
        <f t="shared" si="1"/>
        <v>-1.2477538553513243</v>
      </c>
    </row>
    <row r="15" spans="2:5" x14ac:dyDescent="0.3">
      <c r="B15">
        <f>lns!G30</f>
        <v>-0.61001816351954208</v>
      </c>
      <c r="C15">
        <v>12</v>
      </c>
      <c r="D15">
        <f t="shared" si="0"/>
        <v>0.11616161616161616</v>
      </c>
      <c r="E15">
        <f t="shared" si="1"/>
        <v>-1.1943956635681565</v>
      </c>
    </row>
    <row r="16" spans="2:5" x14ac:dyDescent="0.3">
      <c r="B16">
        <f>lns!G69</f>
        <v>-0.59288021503187305</v>
      </c>
      <c r="C16">
        <v>13</v>
      </c>
      <c r="D16">
        <f t="shared" si="0"/>
        <v>0.12626262626262627</v>
      </c>
      <c r="E16">
        <f t="shared" si="1"/>
        <v>-1.1442372651002066</v>
      </c>
    </row>
    <row r="17" spans="2:5" x14ac:dyDescent="0.3">
      <c r="B17">
        <f>lns!G44</f>
        <v>-0.58294122303899543</v>
      </c>
      <c r="C17">
        <v>14</v>
      </c>
      <c r="D17">
        <f t="shared" si="0"/>
        <v>0.13636363636363635</v>
      </c>
      <c r="E17">
        <f t="shared" si="1"/>
        <v>-1.096803562093513</v>
      </c>
    </row>
    <row r="18" spans="2:5" x14ac:dyDescent="0.3">
      <c r="B18">
        <f>lns!G29</f>
        <v>-0.57281805560819765</v>
      </c>
      <c r="C18">
        <v>15</v>
      </c>
      <c r="D18">
        <f t="shared" si="0"/>
        <v>0.14646464646464646</v>
      </c>
      <c r="E18">
        <f t="shared" si="1"/>
        <v>-1.0517172529984806</v>
      </c>
    </row>
    <row r="19" spans="2:5" x14ac:dyDescent="0.3">
      <c r="B19">
        <f>lns!G45</f>
        <v>-0.57228090298277934</v>
      </c>
      <c r="C19">
        <v>16</v>
      </c>
      <c r="D19">
        <f t="shared" si="0"/>
        <v>0.15656565656565657</v>
      </c>
      <c r="E19">
        <f t="shared" si="1"/>
        <v>-1.0086733576467986</v>
      </c>
    </row>
    <row r="20" spans="2:5" x14ac:dyDescent="0.3">
      <c r="B20">
        <f>lns!G31</f>
        <v>-0.55030650409314974</v>
      </c>
      <c r="C20">
        <v>17</v>
      </c>
      <c r="D20">
        <f t="shared" si="0"/>
        <v>0.16666666666666666</v>
      </c>
      <c r="E20">
        <f t="shared" si="1"/>
        <v>-0.96742156610170071</v>
      </c>
    </row>
    <row r="21" spans="2:5" x14ac:dyDescent="0.3">
      <c r="B21">
        <f>lns!G36</f>
        <v>-0.53695572738503494</v>
      </c>
      <c r="C21">
        <v>18</v>
      </c>
      <c r="D21">
        <f t="shared" si="0"/>
        <v>0.17676767676767677</v>
      </c>
      <c r="E21">
        <f t="shared" si="1"/>
        <v>-0.92775368535742475</v>
      </c>
    </row>
    <row r="22" spans="2:5" x14ac:dyDescent="0.3">
      <c r="B22">
        <f>lns!G71</f>
        <v>-0.53635883956426256</v>
      </c>
      <c r="C22">
        <v>19</v>
      </c>
      <c r="D22">
        <f t="shared" si="0"/>
        <v>0.18686868686868688</v>
      </c>
      <c r="E22">
        <f t="shared" si="1"/>
        <v>-0.88949450753063364</v>
      </c>
    </row>
    <row r="23" spans="2:5" x14ac:dyDescent="0.3">
      <c r="B23">
        <f>lns!G33</f>
        <v>-0.52578698890615094</v>
      </c>
      <c r="C23">
        <v>20</v>
      </c>
      <c r="D23">
        <f t="shared" si="0"/>
        <v>0.19696969696969696</v>
      </c>
      <c r="E23">
        <f t="shared" si="1"/>
        <v>-0.85249503427469364</v>
      </c>
    </row>
    <row r="24" spans="2:5" x14ac:dyDescent="0.3">
      <c r="B24">
        <f>lns!G62</f>
        <v>-0.52501921117897232</v>
      </c>
      <c r="C24">
        <v>21</v>
      </c>
      <c r="D24">
        <f t="shared" si="0"/>
        <v>0.20707070707070707</v>
      </c>
      <c r="E24">
        <f t="shared" si="1"/>
        <v>-0.81662736084860543</v>
      </c>
    </row>
    <row r="25" spans="2:5" x14ac:dyDescent="0.3">
      <c r="B25">
        <f>lns!G24</f>
        <v>-0.50461329364302865</v>
      </c>
      <c r="C25">
        <v>22</v>
      </c>
      <c r="D25">
        <f t="shared" si="0"/>
        <v>0.21717171717171718</v>
      </c>
      <c r="E25">
        <f t="shared" si="1"/>
        <v>-0.78178075276507197</v>
      </c>
    </row>
    <row r="26" spans="2:5" x14ac:dyDescent="0.3">
      <c r="B26">
        <f>lns!G26</f>
        <v>-0.48681128993514522</v>
      </c>
      <c r="C26">
        <v>23</v>
      </c>
      <c r="D26">
        <f t="shared" si="0"/>
        <v>0.22727272727272727</v>
      </c>
      <c r="E26">
        <f t="shared" si="1"/>
        <v>-0.74785859476330196</v>
      </c>
    </row>
    <row r="27" spans="2:5" x14ac:dyDescent="0.3">
      <c r="B27">
        <f>lns!G40</f>
        <v>-0.47679463602307398</v>
      </c>
      <c r="C27">
        <v>24</v>
      </c>
      <c r="D27">
        <f t="shared" si="0"/>
        <v>0.23737373737373738</v>
      </c>
      <c r="E27">
        <f t="shared" si="1"/>
        <v>-0.71477598810315091</v>
      </c>
    </row>
    <row r="28" spans="2:5" x14ac:dyDescent="0.3">
      <c r="B28">
        <f>lns!G55</f>
        <v>-0.47355392409075669</v>
      </c>
      <c r="C28">
        <v>25</v>
      </c>
      <c r="D28">
        <f t="shared" si="0"/>
        <v>0.24747474747474749</v>
      </c>
      <c r="E28">
        <f t="shared" si="1"/>
        <v>-0.68245783666933024</v>
      </c>
    </row>
    <row r="29" spans="2:5" x14ac:dyDescent="0.3">
      <c r="B29">
        <f>lns!G48</f>
        <v>-0.47000682925085546</v>
      </c>
      <c r="C29">
        <v>26</v>
      </c>
      <c r="D29">
        <f t="shared" si="0"/>
        <v>0.25757575757575757</v>
      </c>
      <c r="E29">
        <f t="shared" si="1"/>
        <v>-0.65083730644447746</v>
      </c>
    </row>
    <row r="30" spans="2:5" x14ac:dyDescent="0.3">
      <c r="B30">
        <f>lns!G56</f>
        <v>-0.46749637503612063</v>
      </c>
      <c r="C30">
        <v>27</v>
      </c>
      <c r="D30">
        <f t="shared" si="0"/>
        <v>0.26767676767676768</v>
      </c>
      <c r="E30">
        <f t="shared" si="1"/>
        <v>-0.61985457356549389</v>
      </c>
    </row>
    <row r="31" spans="2:5" x14ac:dyDescent="0.3">
      <c r="B31">
        <f>lns!G37</f>
        <v>-0.4633871663915014</v>
      </c>
      <c r="C31">
        <v>28</v>
      </c>
      <c r="D31">
        <f t="shared" si="0"/>
        <v>0.27777777777777779</v>
      </c>
      <c r="E31">
        <f t="shared" si="1"/>
        <v>-0.58945579784977842</v>
      </c>
    </row>
    <row r="32" spans="2:5" x14ac:dyDescent="0.3">
      <c r="B32">
        <f>lns!G53</f>
        <v>-0.45295931239648407</v>
      </c>
      <c r="C32">
        <v>29</v>
      </c>
      <c r="D32">
        <f t="shared" si="0"/>
        <v>0.2878787878787879</v>
      </c>
      <c r="E32">
        <f t="shared" si="1"/>
        <v>-0.5595922742274323</v>
      </c>
    </row>
    <row r="33" spans="2:5" x14ac:dyDescent="0.3">
      <c r="B33">
        <f>lns!G34</f>
        <v>-0.45157449377736836</v>
      </c>
      <c r="C33">
        <v>30</v>
      </c>
      <c r="D33">
        <f t="shared" si="0"/>
        <v>0.29797979797979796</v>
      </c>
      <c r="E33">
        <f t="shared" si="1"/>
        <v>-0.53021972582422794</v>
      </c>
    </row>
    <row r="34" spans="2:5" x14ac:dyDescent="0.3">
      <c r="B34">
        <f>lns!G22</f>
        <v>-0.44227329374762825</v>
      </c>
      <c r="C34">
        <v>31</v>
      </c>
      <c r="D34">
        <f t="shared" si="0"/>
        <v>0.30808080808080807</v>
      </c>
      <c r="E34">
        <f t="shared" si="1"/>
        <v>-0.50129771076772867</v>
      </c>
    </row>
    <row r="35" spans="2:5" x14ac:dyDescent="0.3">
      <c r="B35">
        <f>lns!G73</f>
        <v>-0.41050981125289848</v>
      </c>
      <c r="C35">
        <v>32</v>
      </c>
      <c r="D35">
        <f t="shared" si="0"/>
        <v>0.31818181818181818</v>
      </c>
      <c r="E35">
        <f t="shared" si="1"/>
        <v>-0.47278912099226744</v>
      </c>
    </row>
    <row r="36" spans="2:5" x14ac:dyDescent="0.3">
      <c r="B36">
        <f>lns!G28</f>
        <v>-0.37736902560517088</v>
      </c>
      <c r="C36">
        <v>33</v>
      </c>
      <c r="D36">
        <f t="shared" si="0"/>
        <v>0.32828282828282829</v>
      </c>
      <c r="E36">
        <f t="shared" si="1"/>
        <v>-0.4446597559886718</v>
      </c>
    </row>
    <row r="37" spans="2:5" x14ac:dyDescent="0.3">
      <c r="B37">
        <f>lns!G83</f>
        <v>-0.35764112482691485</v>
      </c>
      <c r="C37">
        <v>34</v>
      </c>
      <c r="D37">
        <f t="shared" si="0"/>
        <v>0.3383838383838384</v>
      </c>
      <c r="E37">
        <f t="shared" si="1"/>
        <v>-0.41687795799540722</v>
      </c>
    </row>
    <row r="38" spans="2:5" x14ac:dyDescent="0.3">
      <c r="B38">
        <f>lns!G32</f>
        <v>-0.33124253537848225</v>
      </c>
      <c r="C38">
        <v>35</v>
      </c>
      <c r="D38">
        <f t="shared" si="0"/>
        <v>0.34848484848484851</v>
      </c>
      <c r="E38">
        <f t="shared" si="1"/>
        <v>-0.38941429785214438</v>
      </c>
    </row>
    <row r="39" spans="2:5" x14ac:dyDescent="0.3">
      <c r="B39">
        <f>lns!G5</f>
        <v>-0.32876660143119157</v>
      </c>
      <c r="C39">
        <v>36</v>
      </c>
      <c r="D39">
        <f t="shared" si="0"/>
        <v>0.35858585858585856</v>
      </c>
      <c r="E39">
        <f t="shared" si="1"/>
        <v>-0.3622413028447366</v>
      </c>
    </row>
    <row r="40" spans="2:5" x14ac:dyDescent="0.3">
      <c r="B40">
        <f>lns!G90</f>
        <v>-0.32724513753413031</v>
      </c>
      <c r="C40">
        <v>37</v>
      </c>
      <c r="D40">
        <f t="shared" si="0"/>
        <v>0.36868686868686867</v>
      </c>
      <c r="E40">
        <f t="shared" si="1"/>
        <v>-0.33533321951439826</v>
      </c>
    </row>
    <row r="41" spans="2:5" x14ac:dyDescent="0.3">
      <c r="B41">
        <f>lns!G61</f>
        <v>-0.31750917734993089</v>
      </c>
      <c r="C41">
        <v>38</v>
      </c>
      <c r="D41">
        <f t="shared" si="0"/>
        <v>0.37878787878787878</v>
      </c>
      <c r="E41">
        <f t="shared" si="1"/>
        <v>-0.30866580569493407</v>
      </c>
    </row>
    <row r="42" spans="2:5" x14ac:dyDescent="0.3">
      <c r="B42">
        <f>lns!G96</f>
        <v>-0.3138426286109714</v>
      </c>
      <c r="C42">
        <v>39</v>
      </c>
      <c r="D42">
        <f t="shared" si="0"/>
        <v>0.3888888888888889</v>
      </c>
      <c r="E42">
        <f t="shared" si="1"/>
        <v>-0.28221614706250814</v>
      </c>
    </row>
    <row r="43" spans="2:5" x14ac:dyDescent="0.3">
      <c r="B43">
        <f>lns!G82</f>
        <v>-0.30581617251404081</v>
      </c>
      <c r="C43">
        <v>40</v>
      </c>
      <c r="D43">
        <f t="shared" si="0"/>
        <v>0.39898989898989901</v>
      </c>
      <c r="E43">
        <f t="shared" si="1"/>
        <v>-0.25596249429406465</v>
      </c>
    </row>
    <row r="44" spans="2:5" x14ac:dyDescent="0.3">
      <c r="B44">
        <f>lns!G66</f>
        <v>-0.29694753121671991</v>
      </c>
      <c r="C44">
        <v>41</v>
      </c>
      <c r="D44">
        <f t="shared" si="0"/>
        <v>0.40909090909090912</v>
      </c>
      <c r="E44">
        <f t="shared" si="1"/>
        <v>-0.22988411757923208</v>
      </c>
    </row>
    <row r="45" spans="2:5" x14ac:dyDescent="0.3">
      <c r="B45">
        <f>lns!G46</f>
        <v>-0.28400749864171021</v>
      </c>
      <c r="C45">
        <v>42</v>
      </c>
      <c r="D45">
        <f t="shared" si="0"/>
        <v>0.41919191919191917</v>
      </c>
      <c r="E45">
        <f t="shared" si="1"/>
        <v>-0.20396117575131437</v>
      </c>
    </row>
    <row r="46" spans="2:5" x14ac:dyDescent="0.3">
      <c r="B46">
        <f>lns!G91</f>
        <v>-0.27739252521160473</v>
      </c>
      <c r="C46">
        <v>43</v>
      </c>
      <c r="D46">
        <f t="shared" si="0"/>
        <v>0.42929292929292928</v>
      </c>
      <c r="E46">
        <f t="shared" si="1"/>
        <v>-0.17817459772241043</v>
      </c>
    </row>
    <row r="47" spans="2:5" x14ac:dyDescent="0.3">
      <c r="B47">
        <f>lns!G58</f>
        <v>-0.27462896941949771</v>
      </c>
      <c r="C47">
        <v>44</v>
      </c>
      <c r="D47">
        <f t="shared" si="0"/>
        <v>0.43939393939393939</v>
      </c>
      <c r="E47">
        <f t="shared" si="1"/>
        <v>-0.15250597424624437</v>
      </c>
    </row>
    <row r="48" spans="2:5" x14ac:dyDescent="0.3">
      <c r="B48">
        <f>lns!G52</f>
        <v>-0.27260168852797051</v>
      </c>
      <c r="C48">
        <v>45</v>
      </c>
      <c r="D48">
        <f t="shared" si="0"/>
        <v>0.4494949494949495</v>
      </c>
      <c r="E48">
        <f t="shared" si="1"/>
        <v>-0.12693745830564304</v>
      </c>
    </row>
    <row r="49" spans="2:5" x14ac:dyDescent="0.3">
      <c r="B49">
        <f>lns!G63</f>
        <v>-0.2575098661479715</v>
      </c>
      <c r="C49">
        <v>46</v>
      </c>
      <c r="D49">
        <f t="shared" si="0"/>
        <v>0.45959595959595961</v>
      </c>
      <c r="E49">
        <f t="shared" si="1"/>
        <v>-0.1014516726419474</v>
      </c>
    </row>
    <row r="50" spans="2:5" x14ac:dyDescent="0.3">
      <c r="B50">
        <f>lns!G60</f>
        <v>-0.24103261064995016</v>
      </c>
      <c r="C50">
        <v>47</v>
      </c>
      <c r="D50">
        <f t="shared" si="0"/>
        <v>0.46969696969696972</v>
      </c>
      <c r="E50">
        <f t="shared" si="1"/>
        <v>-7.60316231203884E-2</v>
      </c>
    </row>
    <row r="51" spans="2:5" x14ac:dyDescent="0.3">
      <c r="B51">
        <f>lns!G68</f>
        <v>-0.23853514653256536</v>
      </c>
      <c r="C51">
        <v>48</v>
      </c>
      <c r="D51">
        <f t="shared" si="0"/>
        <v>0.47979797979797978</v>
      </c>
      <c r="E51">
        <f t="shared" si="1"/>
        <v>-5.0660616765876576E-2</v>
      </c>
    </row>
    <row r="52" spans="2:5" x14ac:dyDescent="0.3">
      <c r="B52">
        <f>lns!G81</f>
        <v>-0.23661133616177984</v>
      </c>
      <c r="C52">
        <v>49</v>
      </c>
      <c r="D52">
        <f t="shared" si="0"/>
        <v>0.48989898989898989</v>
      </c>
      <c r="E52">
        <f t="shared" si="1"/>
        <v>-2.5322183413346296E-2</v>
      </c>
    </row>
    <row r="53" spans="2:5" x14ac:dyDescent="0.3">
      <c r="B53">
        <f>lns!G43</f>
        <v>-0.21769218703732343</v>
      </c>
      <c r="C53">
        <v>50</v>
      </c>
      <c r="D53">
        <f t="shared" si="0"/>
        <v>0.5</v>
      </c>
      <c r="E53">
        <f t="shared" si="1"/>
        <v>0</v>
      </c>
    </row>
    <row r="54" spans="2:5" x14ac:dyDescent="0.3">
      <c r="B54">
        <f>lns!G25</f>
        <v>-0.20172580745264534</v>
      </c>
      <c r="C54">
        <v>51</v>
      </c>
      <c r="D54">
        <f t="shared" si="0"/>
        <v>0.51010101010101006</v>
      </c>
      <c r="E54">
        <f t="shared" si="1"/>
        <v>2.5322183413346164E-2</v>
      </c>
    </row>
    <row r="55" spans="2:5" x14ac:dyDescent="0.3">
      <c r="B55">
        <f>lns!G101</f>
        <v>-0.18907068098107432</v>
      </c>
      <c r="C55">
        <v>52</v>
      </c>
      <c r="D55">
        <f t="shared" si="0"/>
        <v>0.52020202020202022</v>
      </c>
      <c r="E55">
        <f t="shared" si="1"/>
        <v>5.0660616765876576E-2</v>
      </c>
    </row>
    <row r="56" spans="2:5" x14ac:dyDescent="0.3">
      <c r="B56">
        <f>lns!G65</f>
        <v>-0.1811706193765967</v>
      </c>
      <c r="C56">
        <v>53</v>
      </c>
      <c r="D56">
        <f t="shared" si="0"/>
        <v>0.53030303030303028</v>
      </c>
      <c r="E56">
        <f t="shared" si="1"/>
        <v>7.60316231203884E-2</v>
      </c>
    </row>
    <row r="57" spans="2:5" x14ac:dyDescent="0.3">
      <c r="B57">
        <f>lns!G20</f>
        <v>-0.15064383599821884</v>
      </c>
      <c r="C57">
        <v>54</v>
      </c>
      <c r="D57">
        <f t="shared" si="0"/>
        <v>0.54040404040404044</v>
      </c>
      <c r="E57">
        <f t="shared" si="1"/>
        <v>0.10145167264194754</v>
      </c>
    </row>
    <row r="58" spans="2:5" x14ac:dyDescent="0.3">
      <c r="B58">
        <f>lns!G67</f>
        <v>-0.14202795785005717</v>
      </c>
      <c r="C58">
        <v>55</v>
      </c>
      <c r="D58">
        <f t="shared" si="0"/>
        <v>0.5505050505050505</v>
      </c>
      <c r="E58">
        <f t="shared" si="1"/>
        <v>0.12693745830564304</v>
      </c>
    </row>
    <row r="59" spans="2:5" x14ac:dyDescent="0.3">
      <c r="B59">
        <f>lns!G27</f>
        <v>-0.13464057897289722</v>
      </c>
      <c r="C59">
        <v>56</v>
      </c>
      <c r="D59">
        <f t="shared" si="0"/>
        <v>0.56060606060606055</v>
      </c>
      <c r="E59">
        <f t="shared" si="1"/>
        <v>0.15250597424624424</v>
      </c>
    </row>
    <row r="60" spans="2:5" x14ac:dyDescent="0.3">
      <c r="B60">
        <f>lns!G93</f>
        <v>-0.11709689610397299</v>
      </c>
      <c r="C60">
        <v>57</v>
      </c>
      <c r="D60">
        <f t="shared" si="0"/>
        <v>0.57070707070707072</v>
      </c>
      <c r="E60">
        <f t="shared" si="1"/>
        <v>0.17817459772241043</v>
      </c>
    </row>
    <row r="61" spans="2:5" x14ac:dyDescent="0.3">
      <c r="B61">
        <f>lns!G19</f>
        <v>-0.11315190093428126</v>
      </c>
      <c r="C61">
        <v>58</v>
      </c>
      <c r="D61">
        <f t="shared" si="0"/>
        <v>0.58080808080808077</v>
      </c>
      <c r="E61">
        <f t="shared" si="1"/>
        <v>0.2039611757513142</v>
      </c>
    </row>
    <row r="62" spans="2:5" x14ac:dyDescent="0.3">
      <c r="B62">
        <f>lns!G76</f>
        <v>-0.10903615142697941</v>
      </c>
      <c r="C62">
        <v>59</v>
      </c>
      <c r="D62">
        <f t="shared" si="0"/>
        <v>0.59090909090909094</v>
      </c>
      <c r="E62">
        <f t="shared" si="1"/>
        <v>0.22988411757923222</v>
      </c>
    </row>
    <row r="63" spans="2:5" x14ac:dyDescent="0.3">
      <c r="B63">
        <f>lns!G89</f>
        <v>-9.6645270641603123E-2</v>
      </c>
      <c r="C63">
        <v>60</v>
      </c>
      <c r="D63">
        <f t="shared" si="0"/>
        <v>0.60101010101010099</v>
      </c>
      <c r="E63">
        <f t="shared" si="1"/>
        <v>0.25596249429406465</v>
      </c>
    </row>
    <row r="64" spans="2:5" x14ac:dyDescent="0.3">
      <c r="B64">
        <f>lns!G100</f>
        <v>-9.4500807434526948E-2</v>
      </c>
      <c r="C64">
        <v>61</v>
      </c>
      <c r="D64">
        <f t="shared" si="0"/>
        <v>0.61111111111111116</v>
      </c>
      <c r="E64">
        <f t="shared" si="1"/>
        <v>0.28221614706250825</v>
      </c>
    </row>
    <row r="65" spans="2:5" x14ac:dyDescent="0.3">
      <c r="B65">
        <f>lns!G18</f>
        <v>-8.2959958715567217E-2</v>
      </c>
      <c r="C65">
        <v>62</v>
      </c>
      <c r="D65">
        <f t="shared" si="0"/>
        <v>0.62121212121212122</v>
      </c>
      <c r="E65">
        <f t="shared" si="1"/>
        <v>0.30866580569493407</v>
      </c>
    </row>
    <row r="66" spans="2:5" x14ac:dyDescent="0.3">
      <c r="B66">
        <f>lns!G47</f>
        <v>-6.0488068640244259E-2</v>
      </c>
      <c r="C66">
        <v>63</v>
      </c>
      <c r="D66">
        <f t="shared" si="0"/>
        <v>0.63131313131313127</v>
      </c>
      <c r="E66">
        <f t="shared" si="1"/>
        <v>0.3353332195143981</v>
      </c>
    </row>
    <row r="67" spans="2:5" x14ac:dyDescent="0.3">
      <c r="B67">
        <f>lns!G59</f>
        <v>-6.0020741688747582E-2</v>
      </c>
      <c r="C67">
        <v>64</v>
      </c>
      <c r="D67">
        <f t="shared" si="0"/>
        <v>0.64141414141414144</v>
      </c>
      <c r="E67">
        <f t="shared" si="1"/>
        <v>0.3622413028447366</v>
      </c>
    </row>
    <row r="68" spans="2:5" x14ac:dyDescent="0.3">
      <c r="B68">
        <f>lns!G95</f>
        <v>-5.0448388263381425E-2</v>
      </c>
      <c r="C68">
        <v>65</v>
      </c>
      <c r="D68">
        <f t="shared" si="0"/>
        <v>0.65151515151515149</v>
      </c>
      <c r="E68">
        <f t="shared" si="1"/>
        <v>0.38941429785214438</v>
      </c>
    </row>
    <row r="69" spans="2:5" x14ac:dyDescent="0.3">
      <c r="B69">
        <f>lns!G57</f>
        <v>-5.0184435714417663E-2</v>
      </c>
      <c r="C69">
        <v>66</v>
      </c>
      <c r="D69">
        <f t="shared" si="0"/>
        <v>0.66161616161616166</v>
      </c>
      <c r="E69">
        <f t="shared" si="1"/>
        <v>0.41687795799540739</v>
      </c>
    </row>
    <row r="70" spans="2:5" x14ac:dyDescent="0.3">
      <c r="B70">
        <f>lns!G74</f>
        <v>-3.8973703662637547E-2</v>
      </c>
      <c r="C70">
        <v>67</v>
      </c>
      <c r="D70">
        <f t="shared" ref="D70:D102" si="2">(C70-0.5)/99</f>
        <v>0.67171717171717171</v>
      </c>
      <c r="E70">
        <f t="shared" ref="E70:E101" si="3">NORMSINV(D70)</f>
        <v>0.4446597559886718</v>
      </c>
    </row>
    <row r="71" spans="2:5" x14ac:dyDescent="0.3">
      <c r="B71">
        <f>lns!G23</f>
        <v>-2.6364509431328505E-2</v>
      </c>
      <c r="C71">
        <v>68</v>
      </c>
      <c r="D71">
        <f t="shared" si="2"/>
        <v>0.68181818181818177</v>
      </c>
      <c r="E71">
        <f t="shared" si="3"/>
        <v>0.47278912099226728</v>
      </c>
    </row>
    <row r="72" spans="2:5" x14ac:dyDescent="0.3">
      <c r="B72">
        <f>lns!G50</f>
        <v>-1.5370523594254219E-2</v>
      </c>
      <c r="C72">
        <v>69</v>
      </c>
      <c r="D72">
        <f t="shared" si="2"/>
        <v>0.69191919191919193</v>
      </c>
      <c r="E72">
        <f t="shared" si="3"/>
        <v>0.50129771076772867</v>
      </c>
    </row>
    <row r="73" spans="2:5" x14ac:dyDescent="0.3">
      <c r="B73">
        <f>lns!G92</f>
        <v>5.3158458222358511E-3</v>
      </c>
      <c r="C73">
        <v>70</v>
      </c>
      <c r="D73">
        <f t="shared" si="2"/>
        <v>0.70202020202020199</v>
      </c>
      <c r="E73">
        <f t="shared" si="3"/>
        <v>0.53021972582422772</v>
      </c>
    </row>
    <row r="74" spans="2:5" x14ac:dyDescent="0.3">
      <c r="B74">
        <f>lns!G80</f>
        <v>2.4097313483793976E-2</v>
      </c>
      <c r="C74">
        <v>71</v>
      </c>
      <c r="D74">
        <f t="shared" si="2"/>
        <v>0.71212121212121215</v>
      </c>
      <c r="E74">
        <f t="shared" si="3"/>
        <v>0.55959227422743252</v>
      </c>
    </row>
    <row r="75" spans="2:5" x14ac:dyDescent="0.3">
      <c r="B75">
        <f>lns!G98</f>
        <v>3.224451287822247E-2</v>
      </c>
      <c r="C75">
        <v>72</v>
      </c>
      <c r="D75">
        <f t="shared" si="2"/>
        <v>0.72222222222222221</v>
      </c>
      <c r="E75">
        <f t="shared" si="3"/>
        <v>0.58945579784977842</v>
      </c>
    </row>
    <row r="76" spans="2:5" x14ac:dyDescent="0.3">
      <c r="B76">
        <f>lns!G84</f>
        <v>4.1228311962142078E-2</v>
      </c>
      <c r="C76">
        <v>73</v>
      </c>
      <c r="D76">
        <f t="shared" si="2"/>
        <v>0.73232323232323238</v>
      </c>
      <c r="E76">
        <f t="shared" si="3"/>
        <v>0.61985457356549423</v>
      </c>
    </row>
    <row r="77" spans="2:5" x14ac:dyDescent="0.3">
      <c r="B77">
        <f>lns!G78</f>
        <v>4.9380466097437722E-2</v>
      </c>
      <c r="C77">
        <v>74</v>
      </c>
      <c r="D77">
        <f t="shared" si="2"/>
        <v>0.74242424242424243</v>
      </c>
      <c r="E77">
        <f t="shared" si="3"/>
        <v>0.65083730644447746</v>
      </c>
    </row>
    <row r="78" spans="2:5" x14ac:dyDescent="0.3">
      <c r="B78">
        <f>lns!G51</f>
        <v>6.6190281230472672E-2</v>
      </c>
      <c r="C78">
        <v>75</v>
      </c>
      <c r="D78">
        <f t="shared" si="2"/>
        <v>0.75252525252525249</v>
      </c>
      <c r="E78">
        <f t="shared" si="3"/>
        <v>0.68245783666933024</v>
      </c>
    </row>
    <row r="79" spans="2:5" x14ac:dyDescent="0.3">
      <c r="B79">
        <f>lns!G13</f>
        <v>7.2757775333813293E-2</v>
      </c>
      <c r="C79">
        <v>76</v>
      </c>
      <c r="D79">
        <f t="shared" si="2"/>
        <v>0.76262626262626265</v>
      </c>
      <c r="E79">
        <f t="shared" si="3"/>
        <v>0.71477598810315091</v>
      </c>
    </row>
    <row r="80" spans="2:5" x14ac:dyDescent="0.3">
      <c r="B80">
        <f>lns!G39</f>
        <v>8.0860834454997657E-2</v>
      </c>
      <c r="C80">
        <v>77</v>
      </c>
      <c r="D80">
        <f t="shared" si="2"/>
        <v>0.77272727272727271</v>
      </c>
      <c r="E80">
        <f t="shared" si="3"/>
        <v>0.74785859476330196</v>
      </c>
    </row>
    <row r="81" spans="2:5" x14ac:dyDescent="0.3">
      <c r="B81">
        <f>lns!G77</f>
        <v>8.8898761425217229E-2</v>
      </c>
      <c r="C81">
        <v>78</v>
      </c>
      <c r="D81">
        <f t="shared" si="2"/>
        <v>0.78282828282828287</v>
      </c>
      <c r="E81">
        <f t="shared" si="3"/>
        <v>0.78178075276507275</v>
      </c>
    </row>
    <row r="82" spans="2:5" x14ac:dyDescent="0.3">
      <c r="B82">
        <f>lns!G102</f>
        <v>0.10088551777385854</v>
      </c>
      <c r="C82">
        <v>79</v>
      </c>
      <c r="D82">
        <f t="shared" si="2"/>
        <v>0.79292929292929293</v>
      </c>
      <c r="E82">
        <f t="shared" si="3"/>
        <v>0.81662736084860543</v>
      </c>
    </row>
    <row r="83" spans="2:5" x14ac:dyDescent="0.3">
      <c r="B83">
        <f>lns!G12</f>
        <v>0.11066442502972347</v>
      </c>
      <c r="C83">
        <v>80</v>
      </c>
      <c r="D83">
        <f t="shared" si="2"/>
        <v>0.80303030303030298</v>
      </c>
      <c r="E83">
        <f t="shared" si="3"/>
        <v>0.85249503427469353</v>
      </c>
    </row>
    <row r="84" spans="2:5" x14ac:dyDescent="0.3">
      <c r="B84">
        <f>lns!G17</f>
        <v>0.17062002681961372</v>
      </c>
      <c r="C84">
        <v>81</v>
      </c>
      <c r="D84">
        <f t="shared" si="2"/>
        <v>0.81313131313131315</v>
      </c>
      <c r="E84">
        <f t="shared" si="3"/>
        <v>0.88949450753063364</v>
      </c>
    </row>
    <row r="85" spans="2:5" x14ac:dyDescent="0.3">
      <c r="B85">
        <f>lns!G75</f>
        <v>0.18306294856181288</v>
      </c>
      <c r="C85">
        <v>82</v>
      </c>
      <c r="D85">
        <f t="shared" si="2"/>
        <v>0.8232323232323232</v>
      </c>
      <c r="E85">
        <f t="shared" si="3"/>
        <v>0.92775368535742475</v>
      </c>
    </row>
    <row r="86" spans="2:5" x14ac:dyDescent="0.3">
      <c r="B86">
        <f>lns!G87</f>
        <v>0.2158208053343583</v>
      </c>
      <c r="C86">
        <v>83</v>
      </c>
      <c r="D86">
        <f t="shared" si="2"/>
        <v>0.83333333333333337</v>
      </c>
      <c r="E86">
        <f t="shared" si="3"/>
        <v>0.96742156610170071</v>
      </c>
    </row>
    <row r="87" spans="2:5" x14ac:dyDescent="0.3">
      <c r="B87">
        <f>lns!G99</f>
        <v>0.31854827210394027</v>
      </c>
      <c r="C87">
        <v>84</v>
      </c>
      <c r="D87">
        <f t="shared" si="2"/>
        <v>0.84343434343434343</v>
      </c>
      <c r="E87">
        <f t="shared" si="3"/>
        <v>1.0086733576467986</v>
      </c>
    </row>
    <row r="88" spans="2:5" x14ac:dyDescent="0.3">
      <c r="B88">
        <f>lns!G16</f>
        <v>0.3201613631937078</v>
      </c>
      <c r="C88">
        <v>85</v>
      </c>
      <c r="D88">
        <f t="shared" si="2"/>
        <v>0.85353535353535348</v>
      </c>
      <c r="E88">
        <f t="shared" si="3"/>
        <v>1.0517172529984837</v>
      </c>
    </row>
    <row r="89" spans="2:5" x14ac:dyDescent="0.3">
      <c r="B89">
        <f>lns!G14</f>
        <v>0.32255440276936065</v>
      </c>
      <c r="C89">
        <v>86</v>
      </c>
      <c r="D89">
        <f t="shared" si="2"/>
        <v>0.86363636363636365</v>
      </c>
      <c r="E89">
        <f t="shared" si="3"/>
        <v>1.096803562093513</v>
      </c>
    </row>
    <row r="90" spans="2:5" x14ac:dyDescent="0.3">
      <c r="B90">
        <f>lns!G7</f>
        <v>0.32525238598299006</v>
      </c>
      <c r="C90">
        <v>87</v>
      </c>
      <c r="D90">
        <f t="shared" si="2"/>
        <v>0.8737373737373737</v>
      </c>
      <c r="E90">
        <f t="shared" si="3"/>
        <v>1.1442372651002066</v>
      </c>
    </row>
    <row r="91" spans="2:5" x14ac:dyDescent="0.3">
      <c r="B91">
        <f>lns!G64</f>
        <v>0.34486548597923472</v>
      </c>
      <c r="C91">
        <v>88</v>
      </c>
      <c r="D91">
        <f t="shared" si="2"/>
        <v>0.88383838383838387</v>
      </c>
      <c r="E91">
        <f t="shared" si="3"/>
        <v>1.1943956635681565</v>
      </c>
    </row>
    <row r="92" spans="2:5" x14ac:dyDescent="0.3">
      <c r="B92">
        <f>lns!G15</f>
        <v>0.40685081424046698</v>
      </c>
      <c r="C92">
        <v>89</v>
      </c>
      <c r="D92">
        <f t="shared" si="2"/>
        <v>0.89393939393939392</v>
      </c>
      <c r="E92">
        <f t="shared" si="3"/>
        <v>1.2477538553513243</v>
      </c>
    </row>
    <row r="93" spans="2:5" x14ac:dyDescent="0.3">
      <c r="B93">
        <f>lns!G79</f>
        <v>0.45594273659737955</v>
      </c>
      <c r="C93">
        <v>90</v>
      </c>
      <c r="D93">
        <f t="shared" si="2"/>
        <v>0.90404040404040409</v>
      </c>
      <c r="E93">
        <f t="shared" si="3"/>
        <v>1.3049226377527239</v>
      </c>
    </row>
    <row r="94" spans="2:5" x14ac:dyDescent="0.3">
      <c r="B94">
        <f>lns!G88</f>
        <v>0.52294587586398622</v>
      </c>
      <c r="C94">
        <v>91</v>
      </c>
      <c r="D94">
        <f t="shared" si="2"/>
        <v>0.91414141414141414</v>
      </c>
      <c r="E94">
        <f t="shared" si="3"/>
        <v>1.3667069718079636</v>
      </c>
    </row>
    <row r="95" spans="2:5" x14ac:dyDescent="0.3">
      <c r="B95">
        <f>lns!G6</f>
        <v>0.56534789937806951</v>
      </c>
      <c r="C95">
        <v>92</v>
      </c>
      <c r="D95">
        <f t="shared" si="2"/>
        <v>0.9242424242424242</v>
      </c>
      <c r="E95">
        <f t="shared" si="3"/>
        <v>1.434200159686378</v>
      </c>
    </row>
    <row r="96" spans="2:5" x14ac:dyDescent="0.3">
      <c r="B96">
        <f>lns!G11</f>
        <v>0.56771433457267895</v>
      </c>
      <c r="C96">
        <v>93</v>
      </c>
      <c r="D96">
        <f t="shared" si="2"/>
        <v>0.93434343434343436</v>
      </c>
      <c r="E96">
        <f t="shared" si="3"/>
        <v>1.5089438550380383</v>
      </c>
    </row>
    <row r="97" spans="2:5" x14ac:dyDescent="0.3">
      <c r="B97">
        <f>lns!G86</f>
        <v>0.71474231799653498</v>
      </c>
      <c r="C97">
        <v>94</v>
      </c>
      <c r="D97">
        <f t="shared" si="2"/>
        <v>0.94444444444444442</v>
      </c>
      <c r="E97">
        <f t="shared" si="3"/>
        <v>1.59321881802305</v>
      </c>
    </row>
    <row r="98" spans="2:5" x14ac:dyDescent="0.3">
      <c r="B98">
        <f>lns!G97</f>
        <v>0.82411403757230495</v>
      </c>
      <c r="C98">
        <v>95</v>
      </c>
      <c r="D98">
        <f t="shared" si="2"/>
        <v>0.95454545454545459</v>
      </c>
      <c r="E98">
        <f t="shared" si="3"/>
        <v>1.6906216295848984</v>
      </c>
    </row>
    <row r="99" spans="2:5" x14ac:dyDescent="0.3">
      <c r="B99">
        <f>lns!G8</f>
        <v>0.9255477531368318</v>
      </c>
      <c r="C99">
        <v>96</v>
      </c>
      <c r="D99">
        <f t="shared" si="2"/>
        <v>0.96464646464646464</v>
      </c>
      <c r="E99">
        <f t="shared" si="3"/>
        <v>1.807354196799112</v>
      </c>
    </row>
    <row r="100" spans="2:5" x14ac:dyDescent="0.3">
      <c r="B100">
        <f>lns!G85</f>
        <v>0.93456670422939858</v>
      </c>
      <c r="C100">
        <v>97</v>
      </c>
      <c r="D100">
        <f t="shared" si="2"/>
        <v>0.9747474747474747</v>
      </c>
      <c r="E100">
        <f t="shared" si="3"/>
        <v>1.9556614355881674</v>
      </c>
    </row>
    <row r="101" spans="2:5" x14ac:dyDescent="0.3">
      <c r="B101">
        <f>lns!G10</f>
        <v>1.1974948677276969</v>
      </c>
      <c r="C101">
        <v>98</v>
      </c>
      <c r="D101">
        <f t="shared" si="2"/>
        <v>0.98484848484848486</v>
      </c>
      <c r="E101">
        <f t="shared" si="3"/>
        <v>2.166106752892329</v>
      </c>
    </row>
    <row r="102" spans="2:5" x14ac:dyDescent="0.3">
      <c r="B102">
        <f>lns!G9</f>
        <v>1.3545043716302607</v>
      </c>
      <c r="C102">
        <v>99</v>
      </c>
      <c r="D102">
        <f t="shared" si="2"/>
        <v>0.99494949494949492</v>
      </c>
      <c r="E102">
        <f>NORMSINV(D102)</f>
        <v>2.5723521109428868</v>
      </c>
    </row>
  </sheetData>
  <sortState xmlns:xlrd2="http://schemas.microsoft.com/office/spreadsheetml/2017/richdata2" ref="B4:B102">
    <sortCondition ref="B4:B102"/>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EE74-12E5-4223-BD7A-10858A7BEF40}">
  <dimension ref="B3:E102"/>
  <sheetViews>
    <sheetView workbookViewId="0">
      <selection activeCell="B1" activeCellId="1" sqref="E1:E1048576 B1:B1048576"/>
    </sheetView>
  </sheetViews>
  <sheetFormatPr defaultRowHeight="14.4" x14ac:dyDescent="0.3"/>
  <cols>
    <col min="2" max="2" width="16.5546875" customWidth="1"/>
    <col min="4" max="4" width="15" customWidth="1"/>
    <col min="5" max="5" width="17.6640625" customWidth="1"/>
  </cols>
  <sheetData>
    <row r="3" spans="2:5" x14ac:dyDescent="0.3">
      <c r="B3" t="s">
        <v>24</v>
      </c>
      <c r="C3" t="s">
        <v>14</v>
      </c>
      <c r="D3" t="s">
        <v>15</v>
      </c>
      <c r="E3" t="s">
        <v>16</v>
      </c>
    </row>
    <row r="4" spans="2:5" x14ac:dyDescent="0.3">
      <c r="B4">
        <f>lns!H41</f>
        <v>-0.99859683242323194</v>
      </c>
      <c r="C4">
        <v>1</v>
      </c>
      <c r="D4">
        <f>(C4-0.5)/99</f>
        <v>5.0505050505050509E-3</v>
      </c>
      <c r="E4">
        <f>NORMSINV(D4)</f>
        <v>-2.5723521109428895</v>
      </c>
    </row>
    <row r="5" spans="2:5" x14ac:dyDescent="0.3">
      <c r="B5">
        <f>lns!H38</f>
        <v>-0.7515435368050879</v>
      </c>
      <c r="C5">
        <v>2</v>
      </c>
      <c r="D5">
        <f>(C5-0.5)/99</f>
        <v>1.5151515151515152E-2</v>
      </c>
      <c r="E5">
        <f>NORMSINV(D5)</f>
        <v>-2.1661067528923286</v>
      </c>
    </row>
    <row r="6" spans="2:5" x14ac:dyDescent="0.3">
      <c r="B6">
        <f>lns!H54</f>
        <v>-0.74929222567852027</v>
      </c>
      <c r="C6">
        <v>3</v>
      </c>
      <c r="D6">
        <f t="shared" ref="D6:D69" si="0">(C6-0.5)/99</f>
        <v>2.5252525252525252E-2</v>
      </c>
      <c r="E6">
        <f t="shared" ref="E6:E69" si="1">NORMSINV(D6)</f>
        <v>-1.9556614355881679</v>
      </c>
    </row>
    <row r="7" spans="2:5" x14ac:dyDescent="0.3">
      <c r="B7">
        <f>lns!H72</f>
        <v>-0.73033412322715585</v>
      </c>
      <c r="C7">
        <v>4</v>
      </c>
      <c r="D7">
        <f t="shared" si="0"/>
        <v>3.5353535353535352E-2</v>
      </c>
      <c r="E7">
        <f t="shared" si="1"/>
        <v>-1.807354196799112</v>
      </c>
    </row>
    <row r="8" spans="2:5" x14ac:dyDescent="0.3">
      <c r="B8">
        <f>lns!H69</f>
        <v>-0.70495056726108363</v>
      </c>
      <c r="C8">
        <v>5</v>
      </c>
      <c r="D8">
        <f t="shared" si="0"/>
        <v>4.5454545454545456E-2</v>
      </c>
      <c r="E8">
        <f t="shared" si="1"/>
        <v>-1.6906216295848977</v>
      </c>
    </row>
    <row r="9" spans="2:5" x14ac:dyDescent="0.3">
      <c r="B9">
        <f>lns!H94</f>
        <v>-0.69064032534876452</v>
      </c>
      <c r="C9">
        <v>6</v>
      </c>
      <c r="D9">
        <f t="shared" si="0"/>
        <v>5.5555555555555552E-2</v>
      </c>
      <c r="E9">
        <f t="shared" si="1"/>
        <v>-1.5932188180230502</v>
      </c>
    </row>
    <row r="10" spans="2:5" x14ac:dyDescent="0.3">
      <c r="B10">
        <f>lns!H42</f>
        <v>-0.65716632546803733</v>
      </c>
      <c r="C10">
        <v>7</v>
      </c>
      <c r="D10">
        <f t="shared" si="0"/>
        <v>6.5656565656565663E-2</v>
      </c>
      <c r="E10">
        <f t="shared" si="1"/>
        <v>-1.5089438550380374</v>
      </c>
    </row>
    <row r="11" spans="2:5" x14ac:dyDescent="0.3">
      <c r="B11">
        <f>lns!H49</f>
        <v>-0.65509253161073888</v>
      </c>
      <c r="C11">
        <v>8</v>
      </c>
      <c r="D11">
        <f t="shared" si="0"/>
        <v>7.575757575757576E-2</v>
      </c>
      <c r="E11">
        <f t="shared" si="1"/>
        <v>-1.4342001596863787</v>
      </c>
    </row>
    <row r="12" spans="2:5" x14ac:dyDescent="0.3">
      <c r="B12">
        <f>lns!H70</f>
        <v>-0.64548145786174904</v>
      </c>
      <c r="C12">
        <v>9</v>
      </c>
      <c r="D12">
        <f t="shared" si="0"/>
        <v>8.5858585858585856E-2</v>
      </c>
      <c r="E12">
        <f t="shared" si="1"/>
        <v>-1.3667069718079636</v>
      </c>
    </row>
    <row r="13" spans="2:5" x14ac:dyDescent="0.3">
      <c r="B13">
        <f>lns!H29</f>
        <v>-0.63142386840719356</v>
      </c>
      <c r="C13">
        <v>10</v>
      </c>
      <c r="D13">
        <f t="shared" si="0"/>
        <v>9.5959595959595953E-2</v>
      </c>
      <c r="E13">
        <f t="shared" si="1"/>
        <v>-1.304922637752725</v>
      </c>
    </row>
    <row r="14" spans="2:5" x14ac:dyDescent="0.3">
      <c r="B14">
        <f>lns!H40</f>
        <v>-0.598486302415418</v>
      </c>
      <c r="C14">
        <v>11</v>
      </c>
      <c r="D14">
        <f t="shared" si="0"/>
        <v>0.10606060606060606</v>
      </c>
      <c r="E14">
        <f t="shared" si="1"/>
        <v>-1.2477538553513243</v>
      </c>
    </row>
    <row r="15" spans="2:5" x14ac:dyDescent="0.3">
      <c r="B15">
        <f>lns!H31</f>
        <v>-0.59744435058006373</v>
      </c>
      <c r="C15">
        <v>12</v>
      </c>
      <c r="D15">
        <f t="shared" si="0"/>
        <v>0.11616161616161616</v>
      </c>
      <c r="E15">
        <f t="shared" si="1"/>
        <v>-1.1943956635681565</v>
      </c>
    </row>
    <row r="16" spans="2:5" x14ac:dyDescent="0.3">
      <c r="B16">
        <f>lns!H44</f>
        <v>-0.56395217649256868</v>
      </c>
      <c r="C16">
        <v>13</v>
      </c>
      <c r="D16">
        <f t="shared" si="0"/>
        <v>0.12626262626262627</v>
      </c>
      <c r="E16">
        <f t="shared" si="1"/>
        <v>-1.1442372651002066</v>
      </c>
    </row>
    <row r="17" spans="2:5" x14ac:dyDescent="0.3">
      <c r="B17">
        <f>lns!H55</f>
        <v>-0.55329306851949722</v>
      </c>
      <c r="C17">
        <v>14</v>
      </c>
      <c r="D17">
        <f t="shared" si="0"/>
        <v>0.13636363636363635</v>
      </c>
      <c r="E17">
        <f t="shared" si="1"/>
        <v>-1.096803562093513</v>
      </c>
    </row>
    <row r="18" spans="2:5" x14ac:dyDescent="0.3">
      <c r="B18">
        <f>lns!H35</f>
        <v>-0.53974649619469983</v>
      </c>
      <c r="C18">
        <v>15</v>
      </c>
      <c r="D18">
        <f t="shared" si="0"/>
        <v>0.14646464646464646</v>
      </c>
      <c r="E18">
        <f t="shared" si="1"/>
        <v>-1.0517172529984806</v>
      </c>
    </row>
    <row r="19" spans="2:5" x14ac:dyDescent="0.3">
      <c r="B19">
        <f>lns!H62</f>
        <v>-0.53111677036829796</v>
      </c>
      <c r="C19">
        <v>16</v>
      </c>
      <c r="D19">
        <f t="shared" si="0"/>
        <v>0.15656565656565657</v>
      </c>
      <c r="E19">
        <f t="shared" si="1"/>
        <v>-1.0086733576467986</v>
      </c>
    </row>
    <row r="20" spans="2:5" x14ac:dyDescent="0.3">
      <c r="B20">
        <f>lns!H71</f>
        <v>-0.51732167750969293</v>
      </c>
      <c r="C20">
        <v>17</v>
      </c>
      <c r="D20">
        <f t="shared" si="0"/>
        <v>0.16666666666666666</v>
      </c>
      <c r="E20">
        <f t="shared" si="1"/>
        <v>-0.96742156610170071</v>
      </c>
    </row>
    <row r="21" spans="2:5" x14ac:dyDescent="0.3">
      <c r="B21">
        <f>lns!H45</f>
        <v>-0.50872782568384456</v>
      </c>
      <c r="C21">
        <v>18</v>
      </c>
      <c r="D21">
        <f t="shared" si="0"/>
        <v>0.17676767676767677</v>
      </c>
      <c r="E21">
        <f t="shared" si="1"/>
        <v>-0.92775368535742475</v>
      </c>
    </row>
    <row r="22" spans="2:5" x14ac:dyDescent="0.3">
      <c r="B22">
        <f>lns!H30</f>
        <v>-0.47248189761752379</v>
      </c>
      <c r="C22">
        <v>19</v>
      </c>
      <c r="D22">
        <f t="shared" si="0"/>
        <v>0.18686868686868688</v>
      </c>
      <c r="E22">
        <f t="shared" si="1"/>
        <v>-0.88949450753063364</v>
      </c>
    </row>
    <row r="23" spans="2:5" x14ac:dyDescent="0.3">
      <c r="B23">
        <f>lns!H4</f>
        <v>-0.47194791815101839</v>
      </c>
      <c r="C23">
        <v>20</v>
      </c>
      <c r="D23">
        <f t="shared" si="0"/>
        <v>0.19696969696969696</v>
      </c>
      <c r="E23">
        <f t="shared" si="1"/>
        <v>-0.85249503427469364</v>
      </c>
    </row>
    <row r="24" spans="2:5" x14ac:dyDescent="0.3">
      <c r="B24">
        <f>lns!H37</f>
        <v>-0.46585066475295472</v>
      </c>
      <c r="C24">
        <v>21</v>
      </c>
      <c r="D24">
        <f t="shared" si="0"/>
        <v>0.20707070707070707</v>
      </c>
      <c r="E24">
        <f t="shared" si="1"/>
        <v>-0.81662736084860543</v>
      </c>
    </row>
    <row r="25" spans="2:5" x14ac:dyDescent="0.3">
      <c r="B25">
        <f>lns!H56</f>
        <v>-0.46326955411137233</v>
      </c>
      <c r="C25">
        <v>22</v>
      </c>
      <c r="D25">
        <f t="shared" si="0"/>
        <v>0.21717171717171718</v>
      </c>
      <c r="E25">
        <f t="shared" si="1"/>
        <v>-0.78178075276507197</v>
      </c>
    </row>
    <row r="26" spans="2:5" x14ac:dyDescent="0.3">
      <c r="B26">
        <f>lns!H48</f>
        <v>-0.46289932468407358</v>
      </c>
      <c r="C26">
        <v>23</v>
      </c>
      <c r="D26">
        <f t="shared" si="0"/>
        <v>0.22727272727272727</v>
      </c>
      <c r="E26">
        <f t="shared" si="1"/>
        <v>-0.74785859476330196</v>
      </c>
    </row>
    <row r="27" spans="2:5" x14ac:dyDescent="0.3">
      <c r="B27">
        <f>lns!H73</f>
        <v>-0.42588110347608538</v>
      </c>
      <c r="C27">
        <v>24</v>
      </c>
      <c r="D27">
        <f t="shared" si="0"/>
        <v>0.23737373737373738</v>
      </c>
      <c r="E27">
        <f t="shared" si="1"/>
        <v>-0.71477598810315091</v>
      </c>
    </row>
    <row r="28" spans="2:5" x14ac:dyDescent="0.3">
      <c r="B28">
        <f>lns!H5</f>
        <v>-0.42158381936327255</v>
      </c>
      <c r="C28">
        <v>25</v>
      </c>
      <c r="D28">
        <f t="shared" si="0"/>
        <v>0.24747474747474749</v>
      </c>
      <c r="E28">
        <f t="shared" si="1"/>
        <v>-0.68245783666933024</v>
      </c>
    </row>
    <row r="29" spans="2:5" x14ac:dyDescent="0.3">
      <c r="B29">
        <f>lns!H36</f>
        <v>-0.41987341096905667</v>
      </c>
      <c r="C29">
        <v>26</v>
      </c>
      <c r="D29">
        <f t="shared" si="0"/>
        <v>0.25757575757575757</v>
      </c>
      <c r="E29">
        <f t="shared" si="1"/>
        <v>-0.65083730644447746</v>
      </c>
    </row>
    <row r="30" spans="2:5" x14ac:dyDescent="0.3">
      <c r="B30">
        <f>lns!H53</f>
        <v>-0.38443382415509347</v>
      </c>
      <c r="C30">
        <v>27</v>
      </c>
      <c r="D30">
        <f t="shared" si="0"/>
        <v>0.26767676767676768</v>
      </c>
      <c r="E30">
        <f t="shared" si="1"/>
        <v>-0.61985457356549389</v>
      </c>
    </row>
    <row r="31" spans="2:5" x14ac:dyDescent="0.3">
      <c r="B31">
        <f>lns!H46</f>
        <v>-0.37861093094365111</v>
      </c>
      <c r="C31">
        <v>28</v>
      </c>
      <c r="D31">
        <f t="shared" si="0"/>
        <v>0.27777777777777779</v>
      </c>
      <c r="E31">
        <f t="shared" si="1"/>
        <v>-0.58945579784977842</v>
      </c>
    </row>
    <row r="32" spans="2:5" x14ac:dyDescent="0.3">
      <c r="B32">
        <f>lns!H83</f>
        <v>-0.37544136542449097</v>
      </c>
      <c r="C32">
        <v>29</v>
      </c>
      <c r="D32">
        <f t="shared" si="0"/>
        <v>0.2878787878787879</v>
      </c>
      <c r="E32">
        <f t="shared" si="1"/>
        <v>-0.5595922742274323</v>
      </c>
    </row>
    <row r="33" spans="2:5" x14ac:dyDescent="0.3">
      <c r="B33">
        <f>lns!H61</f>
        <v>-0.3734040991926173</v>
      </c>
      <c r="C33">
        <v>30</v>
      </c>
      <c r="D33">
        <f t="shared" si="0"/>
        <v>0.29797979797979796</v>
      </c>
      <c r="E33">
        <f t="shared" si="1"/>
        <v>-0.53021972582422794</v>
      </c>
    </row>
    <row r="34" spans="2:5" x14ac:dyDescent="0.3">
      <c r="B34">
        <f>lns!H82</f>
        <v>-0.36798436937124596</v>
      </c>
      <c r="C34">
        <v>31</v>
      </c>
      <c r="D34">
        <f t="shared" si="0"/>
        <v>0.30808080808080807</v>
      </c>
      <c r="E34">
        <f t="shared" si="1"/>
        <v>-0.50129771076772867</v>
      </c>
    </row>
    <row r="35" spans="2:5" x14ac:dyDescent="0.3">
      <c r="B35">
        <f>lns!H66</f>
        <v>-0.33713285478134691</v>
      </c>
      <c r="C35">
        <v>32</v>
      </c>
      <c r="D35">
        <f t="shared" si="0"/>
        <v>0.31818181818181818</v>
      </c>
      <c r="E35">
        <f t="shared" si="1"/>
        <v>-0.47278912099226744</v>
      </c>
    </row>
    <row r="36" spans="2:5" x14ac:dyDescent="0.3">
      <c r="B36">
        <f>lns!H89</f>
        <v>-0.31630104980045909</v>
      </c>
      <c r="C36">
        <v>33</v>
      </c>
      <c r="D36">
        <f t="shared" si="0"/>
        <v>0.32828282828282829</v>
      </c>
      <c r="E36">
        <f t="shared" si="1"/>
        <v>-0.4446597559886718</v>
      </c>
    </row>
    <row r="37" spans="2:5" x14ac:dyDescent="0.3">
      <c r="B37">
        <f>lns!H90</f>
        <v>-0.30489876615813588</v>
      </c>
      <c r="C37">
        <v>34</v>
      </c>
      <c r="D37">
        <f t="shared" si="0"/>
        <v>0.3383838383838384</v>
      </c>
      <c r="E37">
        <f t="shared" si="1"/>
        <v>-0.41687795799540722</v>
      </c>
    </row>
    <row r="38" spans="2:5" x14ac:dyDescent="0.3">
      <c r="B38">
        <f>lns!H26</f>
        <v>-0.29230340102696351</v>
      </c>
      <c r="C38">
        <v>35</v>
      </c>
      <c r="D38">
        <f t="shared" si="0"/>
        <v>0.34848484848484851</v>
      </c>
      <c r="E38">
        <f t="shared" si="1"/>
        <v>-0.38941429785214438</v>
      </c>
    </row>
    <row r="39" spans="2:5" x14ac:dyDescent="0.3">
      <c r="B39">
        <f>lns!H81</f>
        <v>-0.28776207565195155</v>
      </c>
      <c r="C39">
        <v>36</v>
      </c>
      <c r="D39">
        <f t="shared" si="0"/>
        <v>0.35858585858585856</v>
      </c>
      <c r="E39">
        <f t="shared" si="1"/>
        <v>-0.3622413028447366</v>
      </c>
    </row>
    <row r="40" spans="2:5" x14ac:dyDescent="0.3">
      <c r="B40">
        <f>lns!H58</f>
        <v>-0.28061642635660589</v>
      </c>
      <c r="C40">
        <v>37</v>
      </c>
      <c r="D40">
        <f t="shared" si="0"/>
        <v>0.36868686868686867</v>
      </c>
      <c r="E40">
        <f t="shared" si="1"/>
        <v>-0.33533321951439826</v>
      </c>
    </row>
    <row r="41" spans="2:5" x14ac:dyDescent="0.3">
      <c r="B41">
        <f>lns!H60</f>
        <v>-0.2725741079911595</v>
      </c>
      <c r="C41">
        <v>38</v>
      </c>
      <c r="D41">
        <f t="shared" si="0"/>
        <v>0.37878787878787878</v>
      </c>
      <c r="E41">
        <f t="shared" si="1"/>
        <v>-0.30866580569493407</v>
      </c>
    </row>
    <row r="42" spans="2:5" x14ac:dyDescent="0.3">
      <c r="B42">
        <f>lns!H24</f>
        <v>-0.27198721691481781</v>
      </c>
      <c r="C42">
        <v>39</v>
      </c>
      <c r="D42">
        <f t="shared" si="0"/>
        <v>0.3888888888888889</v>
      </c>
      <c r="E42">
        <f t="shared" si="1"/>
        <v>-0.28221614706250814</v>
      </c>
    </row>
    <row r="43" spans="2:5" x14ac:dyDescent="0.3">
      <c r="B43">
        <f>lns!H68</f>
        <v>-0.2689911740082917</v>
      </c>
      <c r="C43">
        <v>40</v>
      </c>
      <c r="D43">
        <f t="shared" si="0"/>
        <v>0.39898989898989901</v>
      </c>
      <c r="E43">
        <f t="shared" si="1"/>
        <v>-0.25596249429406465</v>
      </c>
    </row>
    <row r="44" spans="2:5" x14ac:dyDescent="0.3">
      <c r="B44">
        <f>lns!H28</f>
        <v>-0.26597015789397999</v>
      </c>
      <c r="C44">
        <v>41</v>
      </c>
      <c r="D44">
        <f t="shared" si="0"/>
        <v>0.40909090909090912</v>
      </c>
      <c r="E44">
        <f t="shared" si="1"/>
        <v>-0.22988411757923208</v>
      </c>
    </row>
    <row r="45" spans="2:5" x14ac:dyDescent="0.3">
      <c r="B45">
        <f>lns!H33</f>
        <v>-0.25635008594950892</v>
      </c>
      <c r="C45">
        <v>42</v>
      </c>
      <c r="D45">
        <f t="shared" si="0"/>
        <v>0.41919191919191917</v>
      </c>
      <c r="E45">
        <f t="shared" si="1"/>
        <v>-0.20396117575131437</v>
      </c>
    </row>
    <row r="46" spans="2:5" x14ac:dyDescent="0.3">
      <c r="B46">
        <f>lns!H91</f>
        <v>-0.213541053225072</v>
      </c>
      <c r="C46">
        <v>43</v>
      </c>
      <c r="D46">
        <f t="shared" si="0"/>
        <v>0.42929292929292928</v>
      </c>
      <c r="E46">
        <f t="shared" si="1"/>
        <v>-0.17817459772241043</v>
      </c>
    </row>
    <row r="47" spans="2:5" x14ac:dyDescent="0.3">
      <c r="B47">
        <f>lns!H43</f>
        <v>-0.21037294375700871</v>
      </c>
      <c r="C47">
        <v>44</v>
      </c>
      <c r="D47">
        <f t="shared" si="0"/>
        <v>0.43939393939393939</v>
      </c>
      <c r="E47">
        <f t="shared" si="1"/>
        <v>-0.15250597424624437</v>
      </c>
    </row>
    <row r="48" spans="2:5" x14ac:dyDescent="0.3">
      <c r="B48">
        <f>lns!H21</f>
        <v>-0.20993862142872849</v>
      </c>
      <c r="C48">
        <v>45</v>
      </c>
      <c r="D48">
        <f t="shared" si="0"/>
        <v>0.4494949494949495</v>
      </c>
      <c r="E48">
        <f t="shared" si="1"/>
        <v>-0.12693745830564304</v>
      </c>
    </row>
    <row r="49" spans="2:5" x14ac:dyDescent="0.3">
      <c r="B49">
        <f>lns!H96</f>
        <v>-0.19576673953384177</v>
      </c>
      <c r="C49">
        <v>46</v>
      </c>
      <c r="D49">
        <f t="shared" si="0"/>
        <v>0.45959595959595961</v>
      </c>
      <c r="E49">
        <f t="shared" si="1"/>
        <v>-0.1014516726419474</v>
      </c>
    </row>
    <row r="50" spans="2:5" x14ac:dyDescent="0.3">
      <c r="B50">
        <f>lns!H22</f>
        <v>-0.16638876058577778</v>
      </c>
      <c r="C50">
        <v>47</v>
      </c>
      <c r="D50">
        <f t="shared" si="0"/>
        <v>0.46969696969696972</v>
      </c>
      <c r="E50">
        <f t="shared" si="1"/>
        <v>-7.60316231203884E-2</v>
      </c>
    </row>
    <row r="51" spans="2:5" x14ac:dyDescent="0.3">
      <c r="B51">
        <f>lns!H52</f>
        <v>-0.16053736468301216</v>
      </c>
      <c r="C51">
        <v>48</v>
      </c>
      <c r="D51">
        <f t="shared" si="0"/>
        <v>0.47979797979797978</v>
      </c>
      <c r="E51">
        <f t="shared" si="1"/>
        <v>-5.0660616765876576E-2</v>
      </c>
    </row>
    <row r="52" spans="2:5" x14ac:dyDescent="0.3">
      <c r="B52">
        <f>lns!H101</f>
        <v>-0.15994811921706237</v>
      </c>
      <c r="C52">
        <v>49</v>
      </c>
      <c r="D52">
        <f t="shared" si="0"/>
        <v>0.48989898989898989</v>
      </c>
      <c r="E52">
        <f t="shared" si="1"/>
        <v>-2.5322183413346296E-2</v>
      </c>
    </row>
    <row r="53" spans="2:5" x14ac:dyDescent="0.3">
      <c r="B53">
        <f>lns!H39</f>
        <v>-0.13886674318554601</v>
      </c>
      <c r="C53">
        <v>50</v>
      </c>
      <c r="D53">
        <f t="shared" si="0"/>
        <v>0.5</v>
      </c>
      <c r="E53">
        <f t="shared" si="1"/>
        <v>0</v>
      </c>
    </row>
    <row r="54" spans="2:5" x14ac:dyDescent="0.3">
      <c r="B54">
        <f>lns!H63</f>
        <v>-0.125878465402783</v>
      </c>
      <c r="C54">
        <v>51</v>
      </c>
      <c r="D54">
        <f t="shared" si="0"/>
        <v>0.51010101010101006</v>
      </c>
      <c r="E54">
        <f t="shared" si="1"/>
        <v>2.5322183413346164E-2</v>
      </c>
    </row>
    <row r="55" spans="2:5" x14ac:dyDescent="0.3">
      <c r="B55">
        <f>lns!H100</f>
        <v>-0.12041775347913958</v>
      </c>
      <c r="C55">
        <v>52</v>
      </c>
      <c r="D55">
        <f t="shared" si="0"/>
        <v>0.52020202020202022</v>
      </c>
      <c r="E55">
        <f t="shared" si="1"/>
        <v>5.0660616765876576E-2</v>
      </c>
    </row>
    <row r="56" spans="2:5" x14ac:dyDescent="0.3">
      <c r="B56">
        <f>lns!H74</f>
        <v>-0.11504167163069205</v>
      </c>
      <c r="C56">
        <v>53</v>
      </c>
      <c r="D56">
        <f t="shared" si="0"/>
        <v>0.53030303030303028</v>
      </c>
      <c r="E56">
        <f t="shared" si="1"/>
        <v>7.60316231203884E-2</v>
      </c>
    </row>
    <row r="57" spans="2:5" x14ac:dyDescent="0.3">
      <c r="B57">
        <f>lns!H19</f>
        <v>-0.10563388635352354</v>
      </c>
      <c r="C57">
        <v>54</v>
      </c>
      <c r="D57">
        <f t="shared" si="0"/>
        <v>0.54040404040404044</v>
      </c>
      <c r="E57">
        <f t="shared" si="1"/>
        <v>0.10145167264194754</v>
      </c>
    </row>
    <row r="58" spans="2:5" x14ac:dyDescent="0.3">
      <c r="B58">
        <f>lns!H50</f>
        <v>-0.10343348468634975</v>
      </c>
      <c r="C58">
        <v>55</v>
      </c>
      <c r="D58">
        <f t="shared" si="0"/>
        <v>0.5505050505050505</v>
      </c>
      <c r="E58">
        <f t="shared" si="1"/>
        <v>0.12693745830564304</v>
      </c>
    </row>
    <row r="59" spans="2:5" x14ac:dyDescent="0.3">
      <c r="B59">
        <f>lns!H65</f>
        <v>-0.10188544958908524</v>
      </c>
      <c r="C59">
        <v>56</v>
      </c>
      <c r="D59">
        <f t="shared" si="0"/>
        <v>0.56060606060606055</v>
      </c>
      <c r="E59">
        <f t="shared" si="1"/>
        <v>0.15250597424624424</v>
      </c>
    </row>
    <row r="60" spans="2:5" x14ac:dyDescent="0.3">
      <c r="B60">
        <f>lns!H47</f>
        <v>-0.10005019595229432</v>
      </c>
      <c r="C60">
        <v>57</v>
      </c>
      <c r="D60">
        <f t="shared" si="0"/>
        <v>0.57070707070707072</v>
      </c>
      <c r="E60">
        <f t="shared" si="1"/>
        <v>0.17817459772241043</v>
      </c>
    </row>
    <row r="61" spans="2:5" x14ac:dyDescent="0.3">
      <c r="B61">
        <f>lns!H34</f>
        <v>-9.7610623797766818E-2</v>
      </c>
      <c r="C61">
        <v>58</v>
      </c>
      <c r="D61">
        <f t="shared" si="0"/>
        <v>0.58080808080808077</v>
      </c>
      <c r="E61">
        <f t="shared" si="1"/>
        <v>0.2039611757513142</v>
      </c>
    </row>
    <row r="62" spans="2:5" x14ac:dyDescent="0.3">
      <c r="B62">
        <f>lns!H67</f>
        <v>-8.9269561132932551E-2</v>
      </c>
      <c r="C62">
        <v>59</v>
      </c>
      <c r="D62">
        <f t="shared" si="0"/>
        <v>0.59090909090909094</v>
      </c>
      <c r="E62">
        <f t="shared" si="1"/>
        <v>0.22988411757923222</v>
      </c>
    </row>
    <row r="63" spans="2:5" x14ac:dyDescent="0.3">
      <c r="B63">
        <f>lns!H32</f>
        <v>-7.3157962017823847E-2</v>
      </c>
      <c r="C63">
        <v>60</v>
      </c>
      <c r="D63">
        <f t="shared" si="0"/>
        <v>0.60101010101010099</v>
      </c>
      <c r="E63">
        <f t="shared" si="1"/>
        <v>0.25596249429406465</v>
      </c>
    </row>
    <row r="64" spans="2:5" x14ac:dyDescent="0.3">
      <c r="B64">
        <f>lns!H27</f>
        <v>-7.223311541190372E-2</v>
      </c>
      <c r="C64">
        <v>61</v>
      </c>
      <c r="D64">
        <f t="shared" si="0"/>
        <v>0.61111111111111116</v>
      </c>
      <c r="E64">
        <f t="shared" si="1"/>
        <v>0.28221614706250825</v>
      </c>
    </row>
    <row r="65" spans="2:5" x14ac:dyDescent="0.3">
      <c r="B65">
        <f>lns!H57</f>
        <v>-6.8169639007242711E-2</v>
      </c>
      <c r="C65">
        <v>62</v>
      </c>
      <c r="D65">
        <f t="shared" si="0"/>
        <v>0.62121212121212122</v>
      </c>
      <c r="E65">
        <f t="shared" si="1"/>
        <v>0.30866580569493407</v>
      </c>
    </row>
    <row r="66" spans="2:5" x14ac:dyDescent="0.3">
      <c r="B66">
        <f>lns!H95</f>
        <v>-6.1704141788504266E-2</v>
      </c>
      <c r="C66">
        <v>63</v>
      </c>
      <c r="D66">
        <f t="shared" si="0"/>
        <v>0.63131313131313127</v>
      </c>
      <c r="E66">
        <f t="shared" si="1"/>
        <v>0.3353332195143981</v>
      </c>
    </row>
    <row r="67" spans="2:5" x14ac:dyDescent="0.3">
      <c r="B67">
        <f>lns!H93</f>
        <v>-5.9659774930927986E-2</v>
      </c>
      <c r="C67">
        <v>64</v>
      </c>
      <c r="D67">
        <f t="shared" si="0"/>
        <v>0.64141414141414144</v>
      </c>
      <c r="E67">
        <f t="shared" si="1"/>
        <v>0.3622413028447366</v>
      </c>
    </row>
    <row r="68" spans="2:5" x14ac:dyDescent="0.3">
      <c r="B68">
        <f>lns!H25</f>
        <v>-5.1539640517740661E-2</v>
      </c>
      <c r="C68">
        <v>65</v>
      </c>
      <c r="D68">
        <f t="shared" si="0"/>
        <v>0.65151515151515149</v>
      </c>
      <c r="E68">
        <f t="shared" si="1"/>
        <v>0.38941429785214438</v>
      </c>
    </row>
    <row r="69" spans="2:5" x14ac:dyDescent="0.3">
      <c r="B69">
        <f>lns!H76</f>
        <v>-4.723627208531251E-2</v>
      </c>
      <c r="C69">
        <v>66</v>
      </c>
      <c r="D69">
        <f t="shared" si="0"/>
        <v>0.66161616161616166</v>
      </c>
      <c r="E69">
        <f t="shared" si="1"/>
        <v>0.41687795799540739</v>
      </c>
    </row>
    <row r="70" spans="2:5" x14ac:dyDescent="0.3">
      <c r="B70">
        <f>lns!H18</f>
        <v>-4.4522583260377828E-2</v>
      </c>
      <c r="C70">
        <v>67</v>
      </c>
      <c r="D70">
        <f t="shared" ref="D70:D102" si="2">(C70-0.5)/99</f>
        <v>0.67171717171717171</v>
      </c>
      <c r="E70">
        <f t="shared" ref="E70:E102" si="3">NORMSINV(D70)</f>
        <v>0.4446597559886718</v>
      </c>
    </row>
    <row r="71" spans="2:5" x14ac:dyDescent="0.3">
      <c r="B71">
        <f>lns!H80</f>
        <v>-1.4866967728000308E-2</v>
      </c>
      <c r="C71">
        <v>68</v>
      </c>
      <c r="D71">
        <f t="shared" si="2"/>
        <v>0.68181818181818177</v>
      </c>
      <c r="E71">
        <f t="shared" si="3"/>
        <v>0.47278912099226728</v>
      </c>
    </row>
    <row r="72" spans="2:5" x14ac:dyDescent="0.3">
      <c r="B72">
        <f>lns!H59</f>
        <v>-4.3856027125532653E-3</v>
      </c>
      <c r="C72">
        <v>69</v>
      </c>
      <c r="D72">
        <f t="shared" si="2"/>
        <v>0.69191919191919193</v>
      </c>
      <c r="E72">
        <f t="shared" si="3"/>
        <v>0.50129771076772867</v>
      </c>
    </row>
    <row r="73" spans="2:5" x14ac:dyDescent="0.3">
      <c r="B73">
        <f>lns!H92</f>
        <v>1.7574657016510519E-2</v>
      </c>
      <c r="C73">
        <v>70</v>
      </c>
      <c r="D73">
        <f t="shared" si="2"/>
        <v>0.70202020202020199</v>
      </c>
      <c r="E73">
        <f t="shared" si="3"/>
        <v>0.53021972582422772</v>
      </c>
    </row>
    <row r="74" spans="2:5" x14ac:dyDescent="0.3">
      <c r="B74">
        <f>lns!H51</f>
        <v>3.3763542152805269E-2</v>
      </c>
      <c r="C74">
        <v>71</v>
      </c>
      <c r="D74">
        <f t="shared" si="2"/>
        <v>0.71212121212121215</v>
      </c>
      <c r="E74">
        <f t="shared" si="3"/>
        <v>0.55959227422743252</v>
      </c>
    </row>
    <row r="75" spans="2:5" x14ac:dyDescent="0.3">
      <c r="B75">
        <f>lns!H98</f>
        <v>4.54990400712183E-2</v>
      </c>
      <c r="C75">
        <v>72</v>
      </c>
      <c r="D75">
        <f t="shared" si="2"/>
        <v>0.72222222222222221</v>
      </c>
      <c r="E75">
        <f t="shared" si="3"/>
        <v>0.58945579784977842</v>
      </c>
    </row>
    <row r="76" spans="2:5" x14ac:dyDescent="0.3">
      <c r="B76">
        <f>lns!H102</f>
        <v>6.1875603718067523E-2</v>
      </c>
      <c r="C76">
        <v>73</v>
      </c>
      <c r="D76">
        <f t="shared" si="2"/>
        <v>0.73232323232323238</v>
      </c>
      <c r="E76">
        <f t="shared" si="3"/>
        <v>0.61985457356549423</v>
      </c>
    </row>
    <row r="77" spans="2:5" x14ac:dyDescent="0.3">
      <c r="B77">
        <f>lns!H20</f>
        <v>6.5066506728644669E-2</v>
      </c>
      <c r="C77">
        <v>74</v>
      </c>
      <c r="D77">
        <f t="shared" si="2"/>
        <v>0.74242424242424243</v>
      </c>
      <c r="E77">
        <f t="shared" si="3"/>
        <v>0.65083730644447746</v>
      </c>
    </row>
    <row r="78" spans="2:5" x14ac:dyDescent="0.3">
      <c r="B78">
        <f>lns!H77</f>
        <v>0.11689375147149943</v>
      </c>
      <c r="C78">
        <v>75</v>
      </c>
      <c r="D78">
        <f t="shared" si="2"/>
        <v>0.75252525252525249</v>
      </c>
      <c r="E78">
        <f t="shared" si="3"/>
        <v>0.68245783666933024</v>
      </c>
    </row>
    <row r="79" spans="2:5" x14ac:dyDescent="0.3">
      <c r="B79">
        <f>lns!H7</f>
        <v>0.12835803385052519</v>
      </c>
      <c r="C79">
        <v>76</v>
      </c>
      <c r="D79">
        <f t="shared" si="2"/>
        <v>0.76262626262626265</v>
      </c>
      <c r="E79">
        <f t="shared" si="3"/>
        <v>0.71477598810315091</v>
      </c>
    </row>
    <row r="80" spans="2:5" x14ac:dyDescent="0.3">
      <c r="B80">
        <f>lns!H13</f>
        <v>0.1486182613262815</v>
      </c>
      <c r="C80">
        <v>77</v>
      </c>
      <c r="D80">
        <f t="shared" si="2"/>
        <v>0.77272727272727271</v>
      </c>
      <c r="E80">
        <f t="shared" si="3"/>
        <v>0.74785859476330196</v>
      </c>
    </row>
    <row r="81" spans="2:5" x14ac:dyDescent="0.3">
      <c r="B81">
        <f>lns!H84</f>
        <v>0.16557375875198937</v>
      </c>
      <c r="C81">
        <v>78</v>
      </c>
      <c r="D81">
        <f t="shared" si="2"/>
        <v>0.78282828282828287</v>
      </c>
      <c r="E81">
        <f t="shared" si="3"/>
        <v>0.78178075276507275</v>
      </c>
    </row>
    <row r="82" spans="2:5" x14ac:dyDescent="0.3">
      <c r="B82">
        <f>lns!H78</f>
        <v>0.18528383158906764</v>
      </c>
      <c r="C82">
        <v>79</v>
      </c>
      <c r="D82">
        <f t="shared" si="2"/>
        <v>0.79292929292929293</v>
      </c>
      <c r="E82">
        <f t="shared" si="3"/>
        <v>0.81662736084860543</v>
      </c>
    </row>
    <row r="83" spans="2:5" x14ac:dyDescent="0.3">
      <c r="B83">
        <f>lns!H75</f>
        <v>0.1881130867940761</v>
      </c>
      <c r="C83">
        <v>80</v>
      </c>
      <c r="D83">
        <f t="shared" si="2"/>
        <v>0.80303030303030298</v>
      </c>
      <c r="E83">
        <f t="shared" si="3"/>
        <v>0.85249503427469353</v>
      </c>
    </row>
    <row r="84" spans="2:5" x14ac:dyDescent="0.3">
      <c r="B84">
        <f>lns!H23</f>
        <v>0.19600254384981861</v>
      </c>
      <c r="C84">
        <v>81</v>
      </c>
      <c r="D84">
        <f t="shared" si="2"/>
        <v>0.81313131313131315</v>
      </c>
      <c r="E84">
        <f t="shared" si="3"/>
        <v>0.88949450753063364</v>
      </c>
    </row>
    <row r="85" spans="2:5" x14ac:dyDescent="0.3">
      <c r="B85">
        <f>lns!H64</f>
        <v>0.27047741750106291</v>
      </c>
      <c r="C85">
        <v>82</v>
      </c>
      <c r="D85">
        <f t="shared" si="2"/>
        <v>0.8232323232323232</v>
      </c>
      <c r="E85">
        <f t="shared" si="3"/>
        <v>0.92775368535742475</v>
      </c>
    </row>
    <row r="86" spans="2:5" x14ac:dyDescent="0.3">
      <c r="B86">
        <f>lns!H99</f>
        <v>0.30315918169808281</v>
      </c>
      <c r="C86">
        <v>83</v>
      </c>
      <c r="D86">
        <f t="shared" si="2"/>
        <v>0.83333333333333337</v>
      </c>
      <c r="E86">
        <f t="shared" si="3"/>
        <v>0.96742156610170071</v>
      </c>
    </row>
    <row r="87" spans="2:5" x14ac:dyDescent="0.3">
      <c r="B87">
        <f>lns!H17</f>
        <v>0.33117968431339534</v>
      </c>
      <c r="C87">
        <v>84</v>
      </c>
      <c r="D87">
        <f t="shared" si="2"/>
        <v>0.84343434343434343</v>
      </c>
      <c r="E87">
        <f t="shared" si="3"/>
        <v>1.0086733576467986</v>
      </c>
    </row>
    <row r="88" spans="2:5" x14ac:dyDescent="0.3">
      <c r="B88">
        <f>lns!H88</f>
        <v>0.34461045983767319</v>
      </c>
      <c r="C88">
        <v>85</v>
      </c>
      <c r="D88">
        <f t="shared" si="2"/>
        <v>0.85353535353535348</v>
      </c>
      <c r="E88">
        <f t="shared" si="3"/>
        <v>1.0517172529984837</v>
      </c>
    </row>
    <row r="89" spans="2:5" x14ac:dyDescent="0.3">
      <c r="B89">
        <f>lns!H87</f>
        <v>0.35142418278844334</v>
      </c>
      <c r="C89">
        <v>86</v>
      </c>
      <c r="D89">
        <f t="shared" si="2"/>
        <v>0.86363636363636365</v>
      </c>
      <c r="E89">
        <f t="shared" si="3"/>
        <v>1.096803562093513</v>
      </c>
    </row>
    <row r="90" spans="2:5" x14ac:dyDescent="0.3">
      <c r="B90">
        <f>lns!H12</f>
        <v>0.39068305660325647</v>
      </c>
      <c r="C90">
        <v>87</v>
      </c>
      <c r="D90">
        <f t="shared" si="2"/>
        <v>0.8737373737373737</v>
      </c>
      <c r="E90">
        <f t="shared" si="3"/>
        <v>1.1442372651002066</v>
      </c>
    </row>
    <row r="91" spans="2:5" x14ac:dyDescent="0.3">
      <c r="B91">
        <f>lns!H79</f>
        <v>0.42523505513178766</v>
      </c>
      <c r="C91">
        <v>88</v>
      </c>
      <c r="D91">
        <f t="shared" si="2"/>
        <v>0.88383838383838387</v>
      </c>
      <c r="E91">
        <f t="shared" si="3"/>
        <v>1.1943956635681565</v>
      </c>
    </row>
    <row r="92" spans="2:5" x14ac:dyDescent="0.3">
      <c r="B92">
        <f>lns!H6</f>
        <v>0.48855547464026267</v>
      </c>
      <c r="C92">
        <v>89</v>
      </c>
      <c r="D92">
        <f t="shared" si="2"/>
        <v>0.89393939393939392</v>
      </c>
      <c r="E92">
        <f t="shared" si="3"/>
        <v>1.2477538553513243</v>
      </c>
    </row>
    <row r="93" spans="2:5" x14ac:dyDescent="0.3">
      <c r="B93">
        <f>lns!H14</f>
        <v>0.53401075922002794</v>
      </c>
      <c r="C93">
        <v>90</v>
      </c>
      <c r="D93">
        <f t="shared" si="2"/>
        <v>0.90404040404040409</v>
      </c>
      <c r="E93">
        <f t="shared" si="3"/>
        <v>1.3049226377527239</v>
      </c>
    </row>
    <row r="94" spans="2:5" x14ac:dyDescent="0.3">
      <c r="B94">
        <f>lns!H15</f>
        <v>0.65607336118011428</v>
      </c>
      <c r="C94">
        <v>91</v>
      </c>
      <c r="D94">
        <f t="shared" si="2"/>
        <v>0.91414141414141414</v>
      </c>
      <c r="E94">
        <f t="shared" si="3"/>
        <v>1.3667069718079636</v>
      </c>
    </row>
    <row r="95" spans="2:5" x14ac:dyDescent="0.3">
      <c r="B95">
        <f>lns!H16</f>
        <v>0.68433849777855016</v>
      </c>
      <c r="C95">
        <v>92</v>
      </c>
      <c r="D95">
        <f t="shared" si="2"/>
        <v>0.9242424242424242</v>
      </c>
      <c r="E95">
        <f t="shared" si="3"/>
        <v>1.434200159686378</v>
      </c>
    </row>
    <row r="96" spans="2:5" x14ac:dyDescent="0.3">
      <c r="B96">
        <f>lns!H11</f>
        <v>0.70231007275177981</v>
      </c>
      <c r="C96">
        <v>93</v>
      </c>
      <c r="D96">
        <f t="shared" si="2"/>
        <v>0.93434343434343436</v>
      </c>
      <c r="E96">
        <f t="shared" si="3"/>
        <v>1.5089438550380383</v>
      </c>
    </row>
    <row r="97" spans="2:5" x14ac:dyDescent="0.3">
      <c r="B97">
        <f>lns!H86</f>
        <v>0.77385582029765065</v>
      </c>
      <c r="C97">
        <v>94</v>
      </c>
      <c r="D97">
        <f t="shared" si="2"/>
        <v>0.94444444444444442</v>
      </c>
      <c r="E97">
        <f t="shared" si="3"/>
        <v>1.59321881802305</v>
      </c>
    </row>
    <row r="98" spans="2:5" x14ac:dyDescent="0.3">
      <c r="B98">
        <f>lns!H97</f>
        <v>0.92601925595180101</v>
      </c>
      <c r="C98">
        <v>95</v>
      </c>
      <c r="D98">
        <f t="shared" si="2"/>
        <v>0.95454545454545459</v>
      </c>
      <c r="E98">
        <f t="shared" si="3"/>
        <v>1.6906216295848984</v>
      </c>
    </row>
    <row r="99" spans="2:5" x14ac:dyDescent="0.3">
      <c r="B99">
        <f>lns!H8</f>
        <v>0.94309623269448584</v>
      </c>
      <c r="C99">
        <v>96</v>
      </c>
      <c r="D99">
        <f t="shared" si="2"/>
        <v>0.96464646464646464</v>
      </c>
      <c r="E99">
        <f t="shared" si="3"/>
        <v>1.807354196799112</v>
      </c>
    </row>
    <row r="100" spans="2:5" x14ac:dyDescent="0.3">
      <c r="B100">
        <f>lns!H85</f>
        <v>1.1024515758308282</v>
      </c>
      <c r="C100">
        <v>97</v>
      </c>
      <c r="D100">
        <f t="shared" si="2"/>
        <v>0.9747474747474747</v>
      </c>
      <c r="E100">
        <f t="shared" si="3"/>
        <v>1.9556614355881674</v>
      </c>
    </row>
    <row r="101" spans="2:5" x14ac:dyDescent="0.3">
      <c r="B101">
        <f>lns!H10</f>
        <v>1.2883093571608919</v>
      </c>
      <c r="C101">
        <v>98</v>
      </c>
      <c r="D101">
        <f t="shared" si="2"/>
        <v>0.98484848484848486</v>
      </c>
      <c r="E101">
        <f t="shared" si="3"/>
        <v>2.166106752892329</v>
      </c>
    </row>
    <row r="102" spans="2:5" x14ac:dyDescent="0.3">
      <c r="B102">
        <f>lns!H9</f>
        <v>1.3089596501778953</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23AED-1043-43AC-A3A1-B2E989AD0CC6}">
  <dimension ref="B3:E102"/>
  <sheetViews>
    <sheetView workbookViewId="0">
      <selection activeCell="E3" sqref="E3"/>
    </sheetView>
  </sheetViews>
  <sheetFormatPr defaultRowHeight="14.4" x14ac:dyDescent="0.3"/>
  <cols>
    <col min="2" max="2" width="16.5546875" customWidth="1"/>
    <col min="4" max="4" width="15" customWidth="1"/>
    <col min="5" max="5" width="17.6640625" customWidth="1"/>
  </cols>
  <sheetData>
    <row r="3" spans="2:5" x14ac:dyDescent="0.3">
      <c r="B3" t="s">
        <v>23</v>
      </c>
      <c r="C3" t="s">
        <v>14</v>
      </c>
      <c r="D3" t="s">
        <v>15</v>
      </c>
      <c r="E3" t="s">
        <v>16</v>
      </c>
    </row>
    <row r="4" spans="2:5" x14ac:dyDescent="0.3">
      <c r="B4">
        <f>lns!I54</f>
        <v>-0.69897211258457481</v>
      </c>
      <c r="C4">
        <v>1</v>
      </c>
      <c r="D4">
        <f>(C4-0.5)/99</f>
        <v>5.0505050505050509E-3</v>
      </c>
      <c r="E4">
        <f>NORMSINV(D4)</f>
        <v>-2.5723521109428895</v>
      </c>
    </row>
    <row r="5" spans="2:5" x14ac:dyDescent="0.3">
      <c r="B5">
        <f>lns!I49</f>
        <v>-0.6893922391844538</v>
      </c>
      <c r="C5">
        <v>2</v>
      </c>
      <c r="D5">
        <f>(C5-0.5)/99</f>
        <v>1.5151515151515152E-2</v>
      </c>
      <c r="E5">
        <f>NORMSINV(D5)</f>
        <v>-2.1661067528923286</v>
      </c>
    </row>
    <row r="6" spans="2:5" x14ac:dyDescent="0.3">
      <c r="B6">
        <f>lns!I70</f>
        <v>-0.68107632732716916</v>
      </c>
      <c r="C6">
        <v>3</v>
      </c>
      <c r="D6">
        <f t="shared" ref="D6:D69" si="0">(C6-0.5)/99</f>
        <v>2.5252525252525252E-2</v>
      </c>
      <c r="E6">
        <f t="shared" ref="E6:E69" si="1">NORMSINV(D6)</f>
        <v>-1.9556614355881679</v>
      </c>
    </row>
    <row r="7" spans="2:5" x14ac:dyDescent="0.3">
      <c r="B7">
        <f>lns!I42</f>
        <v>-0.6590975065215896</v>
      </c>
      <c r="C7">
        <v>4</v>
      </c>
      <c r="D7">
        <f t="shared" si="0"/>
        <v>3.5353535353535352E-2</v>
      </c>
      <c r="E7">
        <f t="shared" si="1"/>
        <v>-1.807354196799112</v>
      </c>
    </row>
    <row r="8" spans="2:5" x14ac:dyDescent="0.3">
      <c r="B8">
        <f>lns!I62</f>
        <v>-0.62475235453320266</v>
      </c>
      <c r="C8">
        <v>5</v>
      </c>
      <c r="D8">
        <f t="shared" si="0"/>
        <v>4.5454545454545456E-2</v>
      </c>
      <c r="E8">
        <f t="shared" si="1"/>
        <v>-1.6906216295848977</v>
      </c>
    </row>
    <row r="9" spans="2:5" x14ac:dyDescent="0.3">
      <c r="B9">
        <f>lns!I29</f>
        <v>-0.62275395669089662</v>
      </c>
      <c r="C9">
        <v>6</v>
      </c>
      <c r="D9">
        <f t="shared" si="0"/>
        <v>5.5555555555555552E-2</v>
      </c>
      <c r="E9">
        <f t="shared" si="1"/>
        <v>-1.5932188180230502</v>
      </c>
    </row>
    <row r="10" spans="2:5" x14ac:dyDescent="0.3">
      <c r="B10">
        <f>lns!I38</f>
        <v>-0.61222363017305137</v>
      </c>
      <c r="C10">
        <v>7</v>
      </c>
      <c r="D10">
        <f t="shared" si="0"/>
        <v>6.5656565656565663E-2</v>
      </c>
      <c r="E10">
        <f t="shared" si="1"/>
        <v>-1.5089438550380374</v>
      </c>
    </row>
    <row r="11" spans="2:5" x14ac:dyDescent="0.3">
      <c r="B11">
        <f>lns!I72</f>
        <v>-0.58756448958488272</v>
      </c>
      <c r="C11">
        <v>8</v>
      </c>
      <c r="D11">
        <f t="shared" si="0"/>
        <v>7.575757575757576E-2</v>
      </c>
      <c r="E11">
        <f t="shared" si="1"/>
        <v>-1.4342001596863787</v>
      </c>
    </row>
    <row r="12" spans="2:5" x14ac:dyDescent="0.3">
      <c r="B12">
        <f>lns!I69</f>
        <v>-0.57785257180454497</v>
      </c>
      <c r="C12">
        <v>9</v>
      </c>
      <c r="D12">
        <f t="shared" si="0"/>
        <v>8.5858585858585856E-2</v>
      </c>
      <c r="E12">
        <f t="shared" si="1"/>
        <v>-1.3667069718079636</v>
      </c>
    </row>
    <row r="13" spans="2:5" x14ac:dyDescent="0.3">
      <c r="B13">
        <f>lns!I41</f>
        <v>-0.52051407224667412</v>
      </c>
      <c r="C13">
        <v>10</v>
      </c>
      <c r="D13">
        <f t="shared" si="0"/>
        <v>9.5959595959595953E-2</v>
      </c>
      <c r="E13">
        <f t="shared" si="1"/>
        <v>-1.304922637752725</v>
      </c>
    </row>
    <row r="14" spans="2:5" x14ac:dyDescent="0.3">
      <c r="B14">
        <f>lns!I44</f>
        <v>-0.5018956152448607</v>
      </c>
      <c r="C14">
        <v>11</v>
      </c>
      <c r="D14">
        <f t="shared" si="0"/>
        <v>0.10606060606060606</v>
      </c>
      <c r="E14">
        <f t="shared" si="1"/>
        <v>-1.2477538553513243</v>
      </c>
    </row>
    <row r="15" spans="2:5" x14ac:dyDescent="0.3">
      <c r="B15">
        <f>lns!I94</f>
        <v>-0.49987249555217422</v>
      </c>
      <c r="C15">
        <v>12</v>
      </c>
      <c r="D15">
        <f t="shared" si="0"/>
        <v>0.11616161616161616</v>
      </c>
      <c r="E15">
        <f t="shared" si="1"/>
        <v>-1.1943956635681565</v>
      </c>
    </row>
    <row r="16" spans="2:5" x14ac:dyDescent="0.3">
      <c r="B16">
        <f>lns!I71</f>
        <v>-0.49405045040428858</v>
      </c>
      <c r="C16">
        <v>13</v>
      </c>
      <c r="D16">
        <f t="shared" si="0"/>
        <v>0.12626262626262627</v>
      </c>
      <c r="E16">
        <f t="shared" si="1"/>
        <v>-1.1442372651002066</v>
      </c>
    </row>
    <row r="17" spans="2:5" x14ac:dyDescent="0.3">
      <c r="B17">
        <f>lns!I48</f>
        <v>-0.46128811987684792</v>
      </c>
      <c r="C17">
        <v>14</v>
      </c>
      <c r="D17">
        <f t="shared" si="0"/>
        <v>0.13636363636363635</v>
      </c>
      <c r="E17">
        <f t="shared" si="1"/>
        <v>-1.096803562093513</v>
      </c>
    </row>
    <row r="18" spans="2:5" x14ac:dyDescent="0.3">
      <c r="B18">
        <f>lns!I55</f>
        <v>-0.45649685775415438</v>
      </c>
      <c r="C18">
        <v>15</v>
      </c>
      <c r="D18">
        <f t="shared" si="0"/>
        <v>0.14646464646464646</v>
      </c>
      <c r="E18">
        <f t="shared" si="1"/>
        <v>-1.0517172529984806</v>
      </c>
    </row>
    <row r="19" spans="2:5" x14ac:dyDescent="0.3">
      <c r="B19">
        <f>lns!I30</f>
        <v>-0.45271867844281577</v>
      </c>
      <c r="C19">
        <v>16</v>
      </c>
      <c r="D19">
        <f t="shared" si="0"/>
        <v>0.15656565656565657</v>
      </c>
      <c r="E19">
        <f t="shared" si="1"/>
        <v>-1.0086733576467986</v>
      </c>
    </row>
    <row r="20" spans="2:5" x14ac:dyDescent="0.3">
      <c r="B20">
        <f>lns!I56</f>
        <v>-0.44976658651768298</v>
      </c>
      <c r="C20">
        <v>17</v>
      </c>
      <c r="D20">
        <f t="shared" si="0"/>
        <v>0.16666666666666666</v>
      </c>
      <c r="E20">
        <f t="shared" si="1"/>
        <v>-0.96742156610170071</v>
      </c>
    </row>
    <row r="21" spans="2:5" x14ac:dyDescent="0.3">
      <c r="B21">
        <f>lns!I83</f>
        <v>-0.44768651885470495</v>
      </c>
      <c r="C21">
        <v>18</v>
      </c>
      <c r="D21">
        <f t="shared" si="0"/>
        <v>0.17676767676767677</v>
      </c>
      <c r="E21">
        <f t="shared" si="1"/>
        <v>-0.92775368535742475</v>
      </c>
    </row>
    <row r="22" spans="2:5" x14ac:dyDescent="0.3">
      <c r="B22">
        <f>lns!I35</f>
        <v>-0.43834993544394107</v>
      </c>
      <c r="C22">
        <v>19</v>
      </c>
      <c r="D22">
        <f t="shared" si="0"/>
        <v>0.18686868686868688</v>
      </c>
      <c r="E22">
        <f t="shared" si="1"/>
        <v>-0.88949450753063364</v>
      </c>
    </row>
    <row r="23" spans="2:5" x14ac:dyDescent="0.3">
      <c r="B23">
        <f>lns!I45</f>
        <v>-0.42835663113454936</v>
      </c>
      <c r="C23">
        <v>20</v>
      </c>
      <c r="D23">
        <f t="shared" si="0"/>
        <v>0.19696969696969696</v>
      </c>
      <c r="E23">
        <f t="shared" si="1"/>
        <v>-0.85249503427469364</v>
      </c>
    </row>
    <row r="24" spans="2:5" x14ac:dyDescent="0.3">
      <c r="B24">
        <f>lns!I33</f>
        <v>-0.41958431666904783</v>
      </c>
      <c r="C24">
        <v>21</v>
      </c>
      <c r="D24">
        <f t="shared" si="0"/>
        <v>0.20707070707070707</v>
      </c>
      <c r="E24">
        <f t="shared" si="1"/>
        <v>-0.81662736084860543</v>
      </c>
    </row>
    <row r="25" spans="2:5" x14ac:dyDescent="0.3">
      <c r="B25">
        <f>lns!I4</f>
        <v>-0.4130699517682227</v>
      </c>
      <c r="C25">
        <v>22</v>
      </c>
      <c r="D25">
        <f t="shared" si="0"/>
        <v>0.21717171717171718</v>
      </c>
      <c r="E25">
        <f t="shared" si="1"/>
        <v>-0.78178075276507197</v>
      </c>
    </row>
    <row r="26" spans="2:5" x14ac:dyDescent="0.3">
      <c r="B26">
        <f>lns!I61</f>
        <v>-0.40685457296753091</v>
      </c>
      <c r="C26">
        <v>23</v>
      </c>
      <c r="D26">
        <f t="shared" si="0"/>
        <v>0.22727272727272727</v>
      </c>
      <c r="E26">
        <f t="shared" si="1"/>
        <v>-0.74785859476330196</v>
      </c>
    </row>
    <row r="27" spans="2:5" x14ac:dyDescent="0.3">
      <c r="B27">
        <f>lns!I58</f>
        <v>-0.40491126150951084</v>
      </c>
      <c r="C27">
        <v>24</v>
      </c>
      <c r="D27">
        <f t="shared" si="0"/>
        <v>0.23737373737373738</v>
      </c>
      <c r="E27">
        <f t="shared" si="1"/>
        <v>-0.71477598810315091</v>
      </c>
    </row>
    <row r="28" spans="2:5" x14ac:dyDescent="0.3">
      <c r="B28">
        <f>lns!I66</f>
        <v>-0.39946017386890564</v>
      </c>
      <c r="C28">
        <v>25</v>
      </c>
      <c r="D28">
        <f t="shared" si="0"/>
        <v>0.24747474747474749</v>
      </c>
      <c r="E28">
        <f t="shared" si="1"/>
        <v>-0.68245783666933024</v>
      </c>
    </row>
    <row r="29" spans="2:5" x14ac:dyDescent="0.3">
      <c r="B29">
        <f>lns!I36</f>
        <v>-0.39671301961319561</v>
      </c>
      <c r="C29">
        <v>26</v>
      </c>
      <c r="D29">
        <f t="shared" si="0"/>
        <v>0.25757575757575757</v>
      </c>
      <c r="E29">
        <f t="shared" si="1"/>
        <v>-0.65083730644447746</v>
      </c>
    </row>
    <row r="30" spans="2:5" x14ac:dyDescent="0.3">
      <c r="B30">
        <f>lns!I37</f>
        <v>-0.38878499785696596</v>
      </c>
      <c r="C30">
        <v>27</v>
      </c>
      <c r="D30">
        <f t="shared" si="0"/>
        <v>0.26767676767676768</v>
      </c>
      <c r="E30">
        <f t="shared" si="1"/>
        <v>-0.61985457356549389</v>
      </c>
    </row>
    <row r="31" spans="2:5" x14ac:dyDescent="0.3">
      <c r="B31">
        <f>lns!I82</f>
        <v>-0.37504987659038458</v>
      </c>
      <c r="C31">
        <v>28</v>
      </c>
      <c r="D31">
        <f t="shared" si="0"/>
        <v>0.27777777777777779</v>
      </c>
      <c r="E31">
        <f t="shared" si="1"/>
        <v>-0.58945579784977842</v>
      </c>
    </row>
    <row r="32" spans="2:5" x14ac:dyDescent="0.3">
      <c r="B32">
        <f>lns!I46</f>
        <v>-0.37292918848360457</v>
      </c>
      <c r="C32">
        <v>29</v>
      </c>
      <c r="D32">
        <f t="shared" si="0"/>
        <v>0.2878787878787879</v>
      </c>
      <c r="E32">
        <f t="shared" si="1"/>
        <v>-0.5595922742274323</v>
      </c>
    </row>
    <row r="33" spans="2:5" x14ac:dyDescent="0.3">
      <c r="B33">
        <f>lns!I73</f>
        <v>-0.36277350240060185</v>
      </c>
      <c r="C33">
        <v>30</v>
      </c>
      <c r="D33">
        <f t="shared" si="0"/>
        <v>0.29797979797979796</v>
      </c>
      <c r="E33">
        <f t="shared" si="1"/>
        <v>-0.53021972582422794</v>
      </c>
    </row>
    <row r="34" spans="2:5" x14ac:dyDescent="0.3">
      <c r="B34">
        <f>lns!I60</f>
        <v>-0.34761043671177277</v>
      </c>
      <c r="C34">
        <v>31</v>
      </c>
      <c r="D34">
        <f t="shared" si="0"/>
        <v>0.30808080808080807</v>
      </c>
      <c r="E34">
        <f t="shared" si="1"/>
        <v>-0.50129771076772867</v>
      </c>
    </row>
    <row r="35" spans="2:5" x14ac:dyDescent="0.3">
      <c r="B35">
        <f>lns!I21</f>
        <v>-0.34759911133074434</v>
      </c>
      <c r="C35">
        <v>32</v>
      </c>
      <c r="D35">
        <f t="shared" si="0"/>
        <v>0.31818181818181818</v>
      </c>
      <c r="E35">
        <f t="shared" si="1"/>
        <v>-0.47278912099226744</v>
      </c>
    </row>
    <row r="36" spans="2:5" x14ac:dyDescent="0.3">
      <c r="B36">
        <f>lns!I53</f>
        <v>-0.30562475052640109</v>
      </c>
      <c r="C36">
        <v>33</v>
      </c>
      <c r="D36">
        <f t="shared" si="0"/>
        <v>0.32828282828282829</v>
      </c>
      <c r="E36">
        <f t="shared" si="1"/>
        <v>-0.4446597559886718</v>
      </c>
    </row>
    <row r="37" spans="2:5" x14ac:dyDescent="0.3">
      <c r="B37">
        <f>lns!I91</f>
        <v>-0.29186547736733343</v>
      </c>
      <c r="C37">
        <v>34</v>
      </c>
      <c r="D37">
        <f t="shared" si="0"/>
        <v>0.3383838383838384</v>
      </c>
      <c r="E37">
        <f t="shared" si="1"/>
        <v>-0.41687795799540722</v>
      </c>
    </row>
    <row r="38" spans="2:5" x14ac:dyDescent="0.3">
      <c r="B38">
        <f>lns!I63</f>
        <v>-0.28992725766154276</v>
      </c>
      <c r="C38">
        <v>35</v>
      </c>
      <c r="D38">
        <f t="shared" si="0"/>
        <v>0.34848484848484851</v>
      </c>
      <c r="E38">
        <f t="shared" si="1"/>
        <v>-0.38941429785214438</v>
      </c>
    </row>
    <row r="39" spans="2:5" x14ac:dyDescent="0.3">
      <c r="B39">
        <f>lns!I31</f>
        <v>-0.28758607705948608</v>
      </c>
      <c r="C39">
        <v>36</v>
      </c>
      <c r="D39">
        <f t="shared" si="0"/>
        <v>0.35858585858585856</v>
      </c>
      <c r="E39">
        <f t="shared" si="1"/>
        <v>-0.3622413028447366</v>
      </c>
    </row>
    <row r="40" spans="2:5" x14ac:dyDescent="0.3">
      <c r="B40">
        <f>lns!I40</f>
        <v>-0.28556564699431136</v>
      </c>
      <c r="C40">
        <v>37</v>
      </c>
      <c r="D40">
        <f t="shared" si="0"/>
        <v>0.36868686868686867</v>
      </c>
      <c r="E40">
        <f t="shared" si="1"/>
        <v>-0.33533321951439826</v>
      </c>
    </row>
    <row r="41" spans="2:5" x14ac:dyDescent="0.3">
      <c r="B41">
        <f>lns!I28</f>
        <v>-0.27369238603852875</v>
      </c>
      <c r="C41">
        <v>38</v>
      </c>
      <c r="D41">
        <f t="shared" si="0"/>
        <v>0.37878787878787878</v>
      </c>
      <c r="E41">
        <f t="shared" si="1"/>
        <v>-0.30866580569493407</v>
      </c>
    </row>
    <row r="42" spans="2:5" x14ac:dyDescent="0.3">
      <c r="B42">
        <f>lns!I19</f>
        <v>-0.24792304267843263</v>
      </c>
      <c r="C42">
        <v>39</v>
      </c>
      <c r="D42">
        <f t="shared" si="0"/>
        <v>0.3888888888888889</v>
      </c>
      <c r="E42">
        <f t="shared" si="1"/>
        <v>-0.28221614706250814</v>
      </c>
    </row>
    <row r="43" spans="2:5" x14ac:dyDescent="0.3">
      <c r="B43">
        <f>lns!I26</f>
        <v>-0.24730945888802461</v>
      </c>
      <c r="C43">
        <v>40</v>
      </c>
      <c r="D43">
        <f t="shared" si="0"/>
        <v>0.39898989898989901</v>
      </c>
      <c r="E43">
        <f t="shared" si="1"/>
        <v>-0.25596249429406465</v>
      </c>
    </row>
    <row r="44" spans="2:5" x14ac:dyDescent="0.3">
      <c r="B44">
        <f>lns!I65</f>
        <v>-0.24407994608190178</v>
      </c>
      <c r="C44">
        <v>41</v>
      </c>
      <c r="D44">
        <f t="shared" si="0"/>
        <v>0.40909090909090912</v>
      </c>
      <c r="E44">
        <f t="shared" si="1"/>
        <v>-0.22988411757923208</v>
      </c>
    </row>
    <row r="45" spans="2:5" x14ac:dyDescent="0.3">
      <c r="B45">
        <f>lns!I68</f>
        <v>-0.24362053093481648</v>
      </c>
      <c r="C45">
        <v>42</v>
      </c>
      <c r="D45">
        <f t="shared" si="0"/>
        <v>0.41919191919191917</v>
      </c>
      <c r="E45">
        <f t="shared" si="1"/>
        <v>-0.20396117575131437</v>
      </c>
    </row>
    <row r="46" spans="2:5" x14ac:dyDescent="0.3">
      <c r="B46">
        <f>lns!I90</f>
        <v>-0.2422906934877096</v>
      </c>
      <c r="C46">
        <v>43</v>
      </c>
      <c r="D46">
        <f t="shared" si="0"/>
        <v>0.42929292929292928</v>
      </c>
      <c r="E46">
        <f t="shared" si="1"/>
        <v>-0.17817459772241043</v>
      </c>
    </row>
    <row r="47" spans="2:5" x14ac:dyDescent="0.3">
      <c r="B47">
        <f>lns!I76</f>
        <v>-0.23321156409162391</v>
      </c>
      <c r="C47">
        <v>44</v>
      </c>
      <c r="D47">
        <f t="shared" si="0"/>
        <v>0.43939393939393939</v>
      </c>
      <c r="E47">
        <f t="shared" si="1"/>
        <v>-0.15250597424624437</v>
      </c>
    </row>
    <row r="48" spans="2:5" x14ac:dyDescent="0.3">
      <c r="B48">
        <f>lns!I67</f>
        <v>-0.22645151660339713</v>
      </c>
      <c r="C48">
        <v>45</v>
      </c>
      <c r="D48">
        <f t="shared" si="0"/>
        <v>0.4494949494949495</v>
      </c>
      <c r="E48">
        <f t="shared" si="1"/>
        <v>-0.12693745830564304</v>
      </c>
    </row>
    <row r="49" spans="2:5" x14ac:dyDescent="0.3">
      <c r="B49">
        <f>lns!I43</f>
        <v>-0.22036865490286861</v>
      </c>
      <c r="C49">
        <v>46</v>
      </c>
      <c r="D49">
        <f t="shared" si="0"/>
        <v>0.45959595959595961</v>
      </c>
      <c r="E49">
        <f t="shared" si="1"/>
        <v>-0.1014516726419474</v>
      </c>
    </row>
    <row r="50" spans="2:5" x14ac:dyDescent="0.3">
      <c r="B50">
        <f>lns!I34</f>
        <v>-0.21997482702797591</v>
      </c>
      <c r="C50">
        <v>47</v>
      </c>
      <c r="D50">
        <f t="shared" si="0"/>
        <v>0.46969696969696972</v>
      </c>
      <c r="E50">
        <f t="shared" si="1"/>
        <v>-7.60316231203884E-2</v>
      </c>
    </row>
    <row r="51" spans="2:5" x14ac:dyDescent="0.3">
      <c r="B51">
        <f>lns!I81</f>
        <v>-0.21386671453400063</v>
      </c>
      <c r="C51">
        <v>48</v>
      </c>
      <c r="D51">
        <f t="shared" si="0"/>
        <v>0.47979797979797978</v>
      </c>
      <c r="E51">
        <f t="shared" si="1"/>
        <v>-5.0660616765876576E-2</v>
      </c>
    </row>
    <row r="52" spans="2:5" x14ac:dyDescent="0.3">
      <c r="B52">
        <f>lns!I24</f>
        <v>-0.20493287677718311</v>
      </c>
      <c r="C52">
        <v>49</v>
      </c>
      <c r="D52">
        <f t="shared" si="0"/>
        <v>0.48989898989898989</v>
      </c>
      <c r="E52">
        <f t="shared" si="1"/>
        <v>-2.5322183413346296E-2</v>
      </c>
    </row>
    <row r="53" spans="2:5" x14ac:dyDescent="0.3">
      <c r="B53">
        <f>lns!I89</f>
        <v>-0.16810154214617543</v>
      </c>
      <c r="C53">
        <v>50</v>
      </c>
      <c r="D53">
        <f t="shared" si="0"/>
        <v>0.5</v>
      </c>
      <c r="E53">
        <f t="shared" si="1"/>
        <v>0</v>
      </c>
    </row>
    <row r="54" spans="2:5" x14ac:dyDescent="0.3">
      <c r="B54">
        <f>lns!I5</f>
        <v>-0.16608528137738332</v>
      </c>
      <c r="C54">
        <v>51</v>
      </c>
      <c r="D54">
        <f t="shared" si="0"/>
        <v>0.51010101010101006</v>
      </c>
      <c r="E54">
        <f t="shared" si="1"/>
        <v>2.5322183413346164E-2</v>
      </c>
    </row>
    <row r="55" spans="2:5" x14ac:dyDescent="0.3">
      <c r="B55">
        <f>lns!I22</f>
        <v>-0.16252716482580279</v>
      </c>
      <c r="C55">
        <v>52</v>
      </c>
      <c r="D55">
        <f t="shared" si="0"/>
        <v>0.52020202020202022</v>
      </c>
      <c r="E55">
        <f t="shared" si="1"/>
        <v>5.0660616765876576E-2</v>
      </c>
    </row>
    <row r="56" spans="2:5" x14ac:dyDescent="0.3">
      <c r="B56">
        <f>lns!I50</f>
        <v>-0.14309353597506666</v>
      </c>
      <c r="C56">
        <v>53</v>
      </c>
      <c r="D56">
        <f t="shared" si="0"/>
        <v>0.53030303030303028</v>
      </c>
      <c r="E56">
        <f t="shared" si="1"/>
        <v>7.60316231203884E-2</v>
      </c>
    </row>
    <row r="57" spans="2:5" x14ac:dyDescent="0.3">
      <c r="B57">
        <f>lns!I96</f>
        <v>-0.12036248457617367</v>
      </c>
      <c r="C57">
        <v>54</v>
      </c>
      <c r="D57">
        <f t="shared" si="0"/>
        <v>0.54040404040404044</v>
      </c>
      <c r="E57">
        <f t="shared" si="1"/>
        <v>0.10145167264194754</v>
      </c>
    </row>
    <row r="58" spans="2:5" x14ac:dyDescent="0.3">
      <c r="B58">
        <f>lns!I57</f>
        <v>-0.11948423187044861</v>
      </c>
      <c r="C58">
        <v>55</v>
      </c>
      <c r="D58">
        <f t="shared" si="0"/>
        <v>0.5505050505050505</v>
      </c>
      <c r="E58">
        <f t="shared" si="1"/>
        <v>0.12693745830564304</v>
      </c>
    </row>
    <row r="59" spans="2:5" x14ac:dyDescent="0.3">
      <c r="B59">
        <f>lns!I47</f>
        <v>-0.11725542486743779</v>
      </c>
      <c r="C59">
        <v>56</v>
      </c>
      <c r="D59">
        <f t="shared" si="0"/>
        <v>0.56060606060606055</v>
      </c>
      <c r="E59">
        <f t="shared" si="1"/>
        <v>0.15250597424624424</v>
      </c>
    </row>
    <row r="60" spans="2:5" x14ac:dyDescent="0.3">
      <c r="B60">
        <f>lns!I74</f>
        <v>-0.10678820098235399</v>
      </c>
      <c r="C60">
        <v>57</v>
      </c>
      <c r="D60">
        <f t="shared" si="0"/>
        <v>0.57070707070707072</v>
      </c>
      <c r="E60">
        <f t="shared" si="1"/>
        <v>0.17817459772241043</v>
      </c>
    </row>
    <row r="61" spans="2:5" x14ac:dyDescent="0.3">
      <c r="B61">
        <f>lns!I93</f>
        <v>-9.9432565170891954E-2</v>
      </c>
      <c r="C61">
        <v>58</v>
      </c>
      <c r="D61">
        <f t="shared" si="0"/>
        <v>0.58080808080808077</v>
      </c>
      <c r="E61">
        <f t="shared" si="1"/>
        <v>0.2039611757513142</v>
      </c>
    </row>
    <row r="62" spans="2:5" x14ac:dyDescent="0.3">
      <c r="B62">
        <f>lns!I59</f>
        <v>-8.2619942558808335E-2</v>
      </c>
      <c r="C62">
        <v>59</v>
      </c>
      <c r="D62">
        <f t="shared" si="0"/>
        <v>0.59090909090909094</v>
      </c>
      <c r="E62">
        <f t="shared" si="1"/>
        <v>0.22988411757923222</v>
      </c>
    </row>
    <row r="63" spans="2:5" x14ac:dyDescent="0.3">
      <c r="B63">
        <f>lns!I52</f>
        <v>-4.0379384153343391E-2</v>
      </c>
      <c r="C63">
        <v>60</v>
      </c>
      <c r="D63">
        <f t="shared" si="0"/>
        <v>0.60101010101010099</v>
      </c>
      <c r="E63">
        <f t="shared" si="1"/>
        <v>0.25596249429406465</v>
      </c>
    </row>
    <row r="64" spans="2:5" x14ac:dyDescent="0.3">
      <c r="B64">
        <f>lns!I32</f>
        <v>-2.800654761236147E-2</v>
      </c>
      <c r="C64">
        <v>61</v>
      </c>
      <c r="D64">
        <f t="shared" si="0"/>
        <v>0.61111111111111116</v>
      </c>
      <c r="E64">
        <f t="shared" si="1"/>
        <v>0.28221614706250825</v>
      </c>
    </row>
    <row r="65" spans="2:5" x14ac:dyDescent="0.3">
      <c r="B65">
        <f>lns!I39</f>
        <v>-2.3208239816940975E-2</v>
      </c>
      <c r="C65">
        <v>62</v>
      </c>
      <c r="D65">
        <f t="shared" si="0"/>
        <v>0.62121212121212122</v>
      </c>
      <c r="E65">
        <f t="shared" si="1"/>
        <v>0.30866580569493407</v>
      </c>
    </row>
    <row r="66" spans="2:5" x14ac:dyDescent="0.3">
      <c r="B66">
        <f>lns!I84</f>
        <v>-5.8390139107977477E-3</v>
      </c>
      <c r="C66">
        <v>63</v>
      </c>
      <c r="D66">
        <f t="shared" si="0"/>
        <v>0.63131313131313127</v>
      </c>
      <c r="E66">
        <f t="shared" si="1"/>
        <v>0.3353332195143981</v>
      </c>
    </row>
    <row r="67" spans="2:5" x14ac:dyDescent="0.3">
      <c r="B67">
        <f>lns!I20</f>
        <v>-2.8370205397547942E-3</v>
      </c>
      <c r="C67">
        <v>64</v>
      </c>
      <c r="D67">
        <f t="shared" si="0"/>
        <v>0.64141414141414144</v>
      </c>
      <c r="E67">
        <f t="shared" si="1"/>
        <v>0.3622413028447366</v>
      </c>
    </row>
    <row r="68" spans="2:5" x14ac:dyDescent="0.3">
      <c r="B68">
        <f>lns!I92</f>
        <v>1.5288307424907528E-3</v>
      </c>
      <c r="C68">
        <v>65</v>
      </c>
      <c r="D68">
        <f t="shared" si="0"/>
        <v>0.65151515151515149</v>
      </c>
      <c r="E68">
        <f t="shared" si="1"/>
        <v>0.38941429785214438</v>
      </c>
    </row>
    <row r="69" spans="2:5" x14ac:dyDescent="0.3">
      <c r="B69">
        <f>lns!I101</f>
        <v>6.637920180183437E-3</v>
      </c>
      <c r="C69">
        <v>66</v>
      </c>
      <c r="D69">
        <f t="shared" si="0"/>
        <v>0.66161616161616166</v>
      </c>
      <c r="E69">
        <f t="shared" si="1"/>
        <v>0.41687795799540739</v>
      </c>
    </row>
    <row r="70" spans="2:5" x14ac:dyDescent="0.3">
      <c r="B70">
        <f>lns!I27</f>
        <v>1.3814143833371003E-2</v>
      </c>
      <c r="C70">
        <v>67</v>
      </c>
      <c r="D70">
        <f t="shared" ref="D70:D102" si="2">(C70-0.5)/99</f>
        <v>0.67171717171717171</v>
      </c>
      <c r="E70">
        <f t="shared" ref="E70:E102" si="3">NORMSINV(D70)</f>
        <v>0.4446597559886718</v>
      </c>
    </row>
    <row r="71" spans="2:5" x14ac:dyDescent="0.3">
      <c r="B71">
        <f>lns!I25</f>
        <v>1.6611265805196906E-2</v>
      </c>
      <c r="C71">
        <v>68</v>
      </c>
      <c r="D71">
        <f t="shared" si="2"/>
        <v>0.68181818181818177</v>
      </c>
      <c r="E71">
        <f t="shared" si="3"/>
        <v>0.47278912099226728</v>
      </c>
    </row>
    <row r="72" spans="2:5" x14ac:dyDescent="0.3">
      <c r="B72">
        <f>lns!I18</f>
        <v>2.2759037120515007E-2</v>
      </c>
      <c r="C72">
        <v>69</v>
      </c>
      <c r="D72">
        <f t="shared" si="2"/>
        <v>0.69191919191919193</v>
      </c>
      <c r="E72">
        <f t="shared" si="3"/>
        <v>0.50129771076772867</v>
      </c>
    </row>
    <row r="73" spans="2:5" x14ac:dyDescent="0.3">
      <c r="B73">
        <f>lns!I75</f>
        <v>2.5463047436529967E-2</v>
      </c>
      <c r="C73">
        <v>70</v>
      </c>
      <c r="D73">
        <f t="shared" si="2"/>
        <v>0.70202020202020199</v>
      </c>
      <c r="E73">
        <f t="shared" si="3"/>
        <v>0.53021972582422772</v>
      </c>
    </row>
    <row r="74" spans="2:5" x14ac:dyDescent="0.3">
      <c r="B74">
        <f>lns!I95</f>
        <v>0.10426091131450356</v>
      </c>
      <c r="C74">
        <v>71</v>
      </c>
      <c r="D74">
        <f t="shared" si="2"/>
        <v>0.71212121212121215</v>
      </c>
      <c r="E74">
        <f t="shared" si="3"/>
        <v>0.55959227422743252</v>
      </c>
    </row>
    <row r="75" spans="2:5" x14ac:dyDescent="0.3">
      <c r="B75">
        <f>lns!I98</f>
        <v>0.12936020530570697</v>
      </c>
      <c r="C75">
        <v>72</v>
      </c>
      <c r="D75">
        <f t="shared" si="2"/>
        <v>0.72222222222222221</v>
      </c>
      <c r="E75">
        <f t="shared" si="3"/>
        <v>0.58945579784977842</v>
      </c>
    </row>
    <row r="76" spans="2:5" x14ac:dyDescent="0.3">
      <c r="B76">
        <f>lns!I80</f>
        <v>0.13564041706816146</v>
      </c>
      <c r="C76">
        <v>73</v>
      </c>
      <c r="D76">
        <f t="shared" si="2"/>
        <v>0.73232323232323238</v>
      </c>
      <c r="E76">
        <f t="shared" si="3"/>
        <v>0.61985457356549423</v>
      </c>
    </row>
    <row r="77" spans="2:5" x14ac:dyDescent="0.3">
      <c r="B77">
        <f>lns!I100</f>
        <v>0.13604198843977344</v>
      </c>
      <c r="C77">
        <v>74</v>
      </c>
      <c r="D77">
        <f t="shared" si="2"/>
        <v>0.74242424242424243</v>
      </c>
      <c r="E77">
        <f t="shared" si="3"/>
        <v>0.65083730644447746</v>
      </c>
    </row>
    <row r="78" spans="2:5" x14ac:dyDescent="0.3">
      <c r="B78">
        <f>lns!I51</f>
        <v>0.14992748898295069</v>
      </c>
      <c r="C78">
        <v>75</v>
      </c>
      <c r="D78">
        <f t="shared" si="2"/>
        <v>0.75252525252525249</v>
      </c>
      <c r="E78">
        <f t="shared" si="3"/>
        <v>0.68245783666933024</v>
      </c>
    </row>
    <row r="79" spans="2:5" x14ac:dyDescent="0.3">
      <c r="B79">
        <f>lns!I77</f>
        <v>0.16011855089275923</v>
      </c>
      <c r="C79">
        <v>76</v>
      </c>
      <c r="D79">
        <f t="shared" si="2"/>
        <v>0.76262626262626265</v>
      </c>
      <c r="E79">
        <f t="shared" si="3"/>
        <v>0.71477598810315091</v>
      </c>
    </row>
    <row r="80" spans="2:5" x14ac:dyDescent="0.3">
      <c r="B80">
        <f>lns!I78</f>
        <v>0.17885722960273681</v>
      </c>
      <c r="C80">
        <v>77</v>
      </c>
      <c r="D80">
        <f t="shared" si="2"/>
        <v>0.77272727272727271</v>
      </c>
      <c r="E80">
        <f t="shared" si="3"/>
        <v>0.74785859476330196</v>
      </c>
    </row>
    <row r="81" spans="2:5" x14ac:dyDescent="0.3">
      <c r="B81">
        <f>lns!I102</f>
        <v>0.1809956782052822</v>
      </c>
      <c r="C81">
        <v>78</v>
      </c>
      <c r="D81">
        <f t="shared" si="2"/>
        <v>0.78282828282828287</v>
      </c>
      <c r="E81">
        <f t="shared" si="3"/>
        <v>0.78178075276507275</v>
      </c>
    </row>
    <row r="82" spans="2:5" x14ac:dyDescent="0.3">
      <c r="B82">
        <f>lns!I64</f>
        <v>0.18554136763515283</v>
      </c>
      <c r="C82">
        <v>79</v>
      </c>
      <c r="D82">
        <f t="shared" si="2"/>
        <v>0.79292929292929293</v>
      </c>
      <c r="E82">
        <f t="shared" si="3"/>
        <v>0.81662736084860543</v>
      </c>
    </row>
    <row r="83" spans="2:5" x14ac:dyDescent="0.3">
      <c r="B83">
        <f>lns!I23</f>
        <v>0.22673708682433988</v>
      </c>
      <c r="C83">
        <v>80</v>
      </c>
      <c r="D83">
        <f t="shared" si="2"/>
        <v>0.80303030303030298</v>
      </c>
      <c r="E83">
        <f t="shared" si="3"/>
        <v>0.85249503427469353</v>
      </c>
    </row>
    <row r="84" spans="2:5" x14ac:dyDescent="0.3">
      <c r="B84">
        <f>lns!I7</f>
        <v>0.30358740928543632</v>
      </c>
      <c r="C84">
        <v>81</v>
      </c>
      <c r="D84">
        <f t="shared" si="2"/>
        <v>0.81313131313131315</v>
      </c>
      <c r="E84">
        <f t="shared" si="3"/>
        <v>0.88949450753063364</v>
      </c>
    </row>
    <row r="85" spans="2:5" x14ac:dyDescent="0.3">
      <c r="B85">
        <f>lns!I87</f>
        <v>0.31608729695694776</v>
      </c>
      <c r="C85">
        <v>82</v>
      </c>
      <c r="D85">
        <f t="shared" si="2"/>
        <v>0.8232323232323232</v>
      </c>
      <c r="E85">
        <f t="shared" si="3"/>
        <v>0.92775368535742475</v>
      </c>
    </row>
    <row r="86" spans="2:5" x14ac:dyDescent="0.3">
      <c r="B86">
        <f>lns!I99</f>
        <v>0.33955319986167043</v>
      </c>
      <c r="C86">
        <v>83</v>
      </c>
      <c r="D86">
        <f t="shared" si="2"/>
        <v>0.83333333333333337</v>
      </c>
      <c r="E86">
        <f t="shared" si="3"/>
        <v>0.96742156610170071</v>
      </c>
    </row>
    <row r="87" spans="2:5" x14ac:dyDescent="0.3">
      <c r="B87">
        <f>lns!I17</f>
        <v>0.39013486477653608</v>
      </c>
      <c r="C87">
        <v>84</v>
      </c>
      <c r="D87">
        <f t="shared" si="2"/>
        <v>0.84343434343434343</v>
      </c>
      <c r="E87">
        <f t="shared" si="3"/>
        <v>1.0086733576467986</v>
      </c>
    </row>
    <row r="88" spans="2:5" x14ac:dyDescent="0.3">
      <c r="B88">
        <f>lns!I13</f>
        <v>0.42396623522553145</v>
      </c>
      <c r="C88">
        <v>85</v>
      </c>
      <c r="D88">
        <f t="shared" si="2"/>
        <v>0.85353535353535348</v>
      </c>
      <c r="E88">
        <f t="shared" si="3"/>
        <v>1.0517172529984837</v>
      </c>
    </row>
    <row r="89" spans="2:5" x14ac:dyDescent="0.3">
      <c r="B89">
        <f>lns!I6</f>
        <v>0.43088591078831856</v>
      </c>
      <c r="C89">
        <v>86</v>
      </c>
      <c r="D89">
        <f t="shared" si="2"/>
        <v>0.86363636363636365</v>
      </c>
      <c r="E89">
        <f t="shared" si="3"/>
        <v>1.096803562093513</v>
      </c>
    </row>
    <row r="90" spans="2:5" x14ac:dyDescent="0.3">
      <c r="B90">
        <f>lns!I88</f>
        <v>0.47630871038032968</v>
      </c>
      <c r="C90">
        <v>87</v>
      </c>
      <c r="D90">
        <f t="shared" si="2"/>
        <v>0.8737373737373737</v>
      </c>
      <c r="E90">
        <f t="shared" si="3"/>
        <v>1.1442372651002066</v>
      </c>
    </row>
    <row r="91" spans="2:5" x14ac:dyDescent="0.3">
      <c r="B91">
        <f>lns!I79</f>
        <v>0.52014407185497069</v>
      </c>
      <c r="C91">
        <v>88</v>
      </c>
      <c r="D91">
        <f t="shared" si="2"/>
        <v>0.88383838383838387</v>
      </c>
      <c r="E91">
        <f t="shared" si="3"/>
        <v>1.1943956635681565</v>
      </c>
    </row>
    <row r="92" spans="2:5" x14ac:dyDescent="0.3">
      <c r="B92">
        <f>lns!I12</f>
        <v>0.59906724369635</v>
      </c>
      <c r="C92">
        <v>89</v>
      </c>
      <c r="D92">
        <f t="shared" si="2"/>
        <v>0.89393939393939392</v>
      </c>
      <c r="E92">
        <f t="shared" si="3"/>
        <v>1.2477538553513243</v>
      </c>
    </row>
    <row r="93" spans="2:5" x14ac:dyDescent="0.3">
      <c r="B93">
        <f>lns!I16</f>
        <v>0.68032026630505182</v>
      </c>
      <c r="C93">
        <v>90</v>
      </c>
      <c r="D93">
        <f t="shared" si="2"/>
        <v>0.90404040404040409</v>
      </c>
      <c r="E93">
        <f t="shared" si="3"/>
        <v>1.3049226377527239</v>
      </c>
    </row>
    <row r="94" spans="2:5" x14ac:dyDescent="0.3">
      <c r="B94">
        <f>lns!I15</f>
        <v>0.76525851790720145</v>
      </c>
      <c r="C94">
        <v>91</v>
      </c>
      <c r="D94">
        <f t="shared" si="2"/>
        <v>0.91414141414141414</v>
      </c>
      <c r="E94">
        <f t="shared" si="3"/>
        <v>1.3667069718079636</v>
      </c>
    </row>
    <row r="95" spans="2:5" x14ac:dyDescent="0.3">
      <c r="B95">
        <f>lns!I14</f>
        <v>0.78033354223886131</v>
      </c>
      <c r="C95">
        <v>92</v>
      </c>
      <c r="D95">
        <f t="shared" si="2"/>
        <v>0.9242424242424242</v>
      </c>
      <c r="E95">
        <f t="shared" si="3"/>
        <v>1.434200159686378</v>
      </c>
    </row>
    <row r="96" spans="2:5" x14ac:dyDescent="0.3">
      <c r="B96">
        <f>lns!I11</f>
        <v>0.81039229378421829</v>
      </c>
      <c r="C96">
        <v>93</v>
      </c>
      <c r="D96">
        <f t="shared" si="2"/>
        <v>0.93434343434343436</v>
      </c>
      <c r="E96">
        <f t="shared" si="3"/>
        <v>1.5089438550380383</v>
      </c>
    </row>
    <row r="97" spans="2:5" x14ac:dyDescent="0.3">
      <c r="B97">
        <f>lns!I8</f>
        <v>0.95493435546635952</v>
      </c>
      <c r="C97">
        <v>94</v>
      </c>
      <c r="D97">
        <f t="shared" si="2"/>
        <v>0.94444444444444442</v>
      </c>
      <c r="E97">
        <f t="shared" si="3"/>
        <v>1.59321881802305</v>
      </c>
    </row>
    <row r="98" spans="2:5" x14ac:dyDescent="0.3">
      <c r="B98">
        <f>lns!I97</f>
        <v>0.96339948326104885</v>
      </c>
      <c r="C98">
        <v>95</v>
      </c>
      <c r="D98">
        <f t="shared" si="2"/>
        <v>0.95454545454545459</v>
      </c>
      <c r="E98">
        <f t="shared" si="3"/>
        <v>1.6906216295848984</v>
      </c>
    </row>
    <row r="99" spans="2:5" x14ac:dyDescent="0.3">
      <c r="B99">
        <f>lns!I86</f>
        <v>1.0425426936144964</v>
      </c>
      <c r="C99">
        <v>96</v>
      </c>
      <c r="D99">
        <f t="shared" si="2"/>
        <v>0.96464646464646464</v>
      </c>
      <c r="E99">
        <f t="shared" si="3"/>
        <v>1.807354196799112</v>
      </c>
    </row>
    <row r="100" spans="2:5" x14ac:dyDescent="0.3">
      <c r="B100">
        <f>lns!I85</f>
        <v>1.2134190477523432</v>
      </c>
      <c r="C100">
        <v>97</v>
      </c>
      <c r="D100">
        <f t="shared" si="2"/>
        <v>0.9747474747474747</v>
      </c>
      <c r="E100">
        <f t="shared" si="3"/>
        <v>1.9556614355881674</v>
      </c>
    </row>
    <row r="101" spans="2:5" x14ac:dyDescent="0.3">
      <c r="B101">
        <f>lns!I9</f>
        <v>1.2946970301539706</v>
      </c>
      <c r="C101">
        <v>98</v>
      </c>
      <c r="D101">
        <f t="shared" si="2"/>
        <v>0.98484848484848486</v>
      </c>
      <c r="E101">
        <f t="shared" si="3"/>
        <v>2.166106752892329</v>
      </c>
    </row>
    <row r="102" spans="2:5" x14ac:dyDescent="0.3">
      <c r="B102">
        <f>lns!I10</f>
        <v>1.3451754475235291</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82AD-BB32-4D47-922B-489EE8B9923F}">
  <dimension ref="B3:E102"/>
  <sheetViews>
    <sheetView workbookViewId="0">
      <selection activeCell="O11" sqref="O11"/>
    </sheetView>
  </sheetViews>
  <sheetFormatPr defaultRowHeight="14.4" x14ac:dyDescent="0.3"/>
  <cols>
    <col min="2" max="2" width="16.5546875" customWidth="1"/>
    <col min="4" max="4" width="15" customWidth="1"/>
    <col min="5" max="5" width="17.6640625" customWidth="1"/>
  </cols>
  <sheetData>
    <row r="3" spans="2:5" x14ac:dyDescent="0.3">
      <c r="B3" t="s">
        <v>22</v>
      </c>
      <c r="C3" t="s">
        <v>14</v>
      </c>
      <c r="D3" t="s">
        <v>15</v>
      </c>
      <c r="E3" t="s">
        <v>16</v>
      </c>
    </row>
    <row r="4" spans="2:5" x14ac:dyDescent="0.3">
      <c r="B4">
        <f>lns!J41</f>
        <v>-0.7243695657886563</v>
      </c>
      <c r="C4">
        <v>1</v>
      </c>
      <c r="D4">
        <f>(C4-0.5)/99</f>
        <v>5.0505050505050509E-3</v>
      </c>
      <c r="E4">
        <f>NORMSINV(D4)</f>
        <v>-2.5723521109428895</v>
      </c>
    </row>
    <row r="5" spans="2:5" x14ac:dyDescent="0.3">
      <c r="B5">
        <f>lns!J54</f>
        <v>-0.70606627383060427</v>
      </c>
      <c r="C5">
        <v>2</v>
      </c>
      <c r="D5">
        <f>(C5-0.5)/99</f>
        <v>1.5151515151515152E-2</v>
      </c>
      <c r="E5">
        <f>NORMSINV(D5)</f>
        <v>-2.1661067528923286</v>
      </c>
    </row>
    <row r="6" spans="2:5" x14ac:dyDescent="0.3">
      <c r="B6">
        <f>lns!J72</f>
        <v>-0.65550270902303243</v>
      </c>
      <c r="C6">
        <v>3</v>
      </c>
      <c r="D6">
        <f t="shared" ref="D6:D69" si="0">(C6-0.5)/99</f>
        <v>2.5252525252525252E-2</v>
      </c>
      <c r="E6">
        <f t="shared" ref="E6:E69" si="1">NORMSINV(D6)</f>
        <v>-1.9556614355881679</v>
      </c>
    </row>
    <row r="7" spans="2:5" x14ac:dyDescent="0.3">
      <c r="B7">
        <f>lns!J38</f>
        <v>-0.61386476183281757</v>
      </c>
      <c r="C7">
        <v>4</v>
      </c>
      <c r="D7">
        <f t="shared" si="0"/>
        <v>3.5353535353535352E-2</v>
      </c>
      <c r="E7">
        <f t="shared" si="1"/>
        <v>-1.807354196799112</v>
      </c>
    </row>
    <row r="8" spans="2:5" x14ac:dyDescent="0.3">
      <c r="B8">
        <f>lns!J62</f>
        <v>-0.60795529116775093</v>
      </c>
      <c r="C8">
        <v>5</v>
      </c>
      <c r="D8">
        <f t="shared" si="0"/>
        <v>4.5454545454545456E-2</v>
      </c>
      <c r="E8">
        <f t="shared" si="1"/>
        <v>-1.6906216295848977</v>
      </c>
    </row>
    <row r="9" spans="2:5" x14ac:dyDescent="0.3">
      <c r="B9">
        <f>lns!J29</f>
        <v>-0.59222188597017955</v>
      </c>
      <c r="C9">
        <v>6</v>
      </c>
      <c r="D9">
        <f t="shared" si="0"/>
        <v>5.5555555555555552E-2</v>
      </c>
      <c r="E9">
        <f t="shared" si="1"/>
        <v>-1.5932188180230502</v>
      </c>
    </row>
    <row r="10" spans="2:5" x14ac:dyDescent="0.3">
      <c r="B10">
        <f>lns!J70</f>
        <v>-0.52963304644260911</v>
      </c>
      <c r="C10">
        <v>7</v>
      </c>
      <c r="D10">
        <f t="shared" si="0"/>
        <v>6.5656565656565663E-2</v>
      </c>
      <c r="E10">
        <f t="shared" si="1"/>
        <v>-1.5089438550380374</v>
      </c>
    </row>
    <row r="11" spans="2:5" x14ac:dyDescent="0.3">
      <c r="B11">
        <f>lns!J42</f>
        <v>-0.50394766458245543</v>
      </c>
      <c r="C11">
        <v>8</v>
      </c>
      <c r="D11">
        <f t="shared" si="0"/>
        <v>7.575757575757576E-2</v>
      </c>
      <c r="E11">
        <f t="shared" si="1"/>
        <v>-1.4342001596863787</v>
      </c>
    </row>
    <row r="12" spans="2:5" x14ac:dyDescent="0.3">
      <c r="B12">
        <f>lns!J49</f>
        <v>-0.50073833859512362</v>
      </c>
      <c r="C12">
        <v>9</v>
      </c>
      <c r="D12">
        <f t="shared" si="0"/>
        <v>8.5858585858585856E-2</v>
      </c>
      <c r="E12">
        <f t="shared" si="1"/>
        <v>-1.3667069718079636</v>
      </c>
    </row>
    <row r="13" spans="2:5" x14ac:dyDescent="0.3">
      <c r="B13">
        <f>lns!J40</f>
        <v>-0.44297384752509816</v>
      </c>
      <c r="C13">
        <v>10</v>
      </c>
      <c r="D13">
        <f t="shared" si="0"/>
        <v>9.5959595959595953E-2</v>
      </c>
      <c r="E13">
        <f t="shared" si="1"/>
        <v>-1.304922637752725</v>
      </c>
    </row>
    <row r="14" spans="2:5" x14ac:dyDescent="0.3">
      <c r="B14">
        <f>lns!J69</f>
        <v>-0.4404991974142739</v>
      </c>
      <c r="C14">
        <v>11</v>
      </c>
      <c r="D14">
        <f t="shared" si="0"/>
        <v>0.10606060606060606</v>
      </c>
      <c r="E14">
        <f t="shared" si="1"/>
        <v>-1.2477538553513243</v>
      </c>
    </row>
    <row r="15" spans="2:5" x14ac:dyDescent="0.3">
      <c r="B15">
        <f>lns!J31</f>
        <v>-0.43665396316423066</v>
      </c>
      <c r="C15">
        <v>12</v>
      </c>
      <c r="D15">
        <f t="shared" si="0"/>
        <v>0.11616161616161616</v>
      </c>
      <c r="E15">
        <f t="shared" si="1"/>
        <v>-1.1943956635681565</v>
      </c>
    </row>
    <row r="16" spans="2:5" x14ac:dyDescent="0.3">
      <c r="B16">
        <f>lns!J73</f>
        <v>-0.42069550400320799</v>
      </c>
      <c r="C16">
        <v>13</v>
      </c>
      <c r="D16">
        <f t="shared" si="0"/>
        <v>0.12626262626262627</v>
      </c>
      <c r="E16">
        <f t="shared" si="1"/>
        <v>-1.1442372651002066</v>
      </c>
    </row>
    <row r="17" spans="2:5" x14ac:dyDescent="0.3">
      <c r="B17">
        <f>lns!J71</f>
        <v>-0.40138245349575319</v>
      </c>
      <c r="C17">
        <v>14</v>
      </c>
      <c r="D17">
        <f t="shared" si="0"/>
        <v>0.13636363636363635</v>
      </c>
      <c r="E17">
        <f t="shared" si="1"/>
        <v>-1.096803562093513</v>
      </c>
    </row>
    <row r="18" spans="2:5" x14ac:dyDescent="0.3">
      <c r="B18">
        <f>lns!J44</f>
        <v>-0.38181547825963724</v>
      </c>
      <c r="C18">
        <v>15</v>
      </c>
      <c r="D18">
        <f t="shared" si="0"/>
        <v>0.14646464646464646</v>
      </c>
      <c r="E18">
        <f t="shared" si="1"/>
        <v>-1.0517172529984806</v>
      </c>
    </row>
    <row r="19" spans="2:5" x14ac:dyDescent="0.3">
      <c r="B19">
        <f>lns!J60</f>
        <v>-0.37636320634625386</v>
      </c>
      <c r="C19">
        <v>16</v>
      </c>
      <c r="D19">
        <f t="shared" si="0"/>
        <v>0.15656565656565657</v>
      </c>
      <c r="E19">
        <f t="shared" si="1"/>
        <v>-1.0086733576467986</v>
      </c>
    </row>
    <row r="20" spans="2:5" x14ac:dyDescent="0.3">
      <c r="B20">
        <f>lns!J36</f>
        <v>-0.36976452565921197</v>
      </c>
      <c r="C20">
        <v>17</v>
      </c>
      <c r="D20">
        <f t="shared" si="0"/>
        <v>0.16666666666666666</v>
      </c>
      <c r="E20">
        <f t="shared" si="1"/>
        <v>-0.96742156610170071</v>
      </c>
    </row>
    <row r="21" spans="2:5" x14ac:dyDescent="0.3">
      <c r="B21">
        <f>lns!J58</f>
        <v>-0.36658243285248654</v>
      </c>
      <c r="C21">
        <v>18</v>
      </c>
      <c r="D21">
        <f t="shared" si="0"/>
        <v>0.17676767676767677</v>
      </c>
      <c r="E21">
        <f t="shared" si="1"/>
        <v>-0.92775368535742475</v>
      </c>
    </row>
    <row r="22" spans="2:5" x14ac:dyDescent="0.3">
      <c r="B22">
        <f>lns!J66</f>
        <v>-0.36116357421239731</v>
      </c>
      <c r="C22">
        <v>19</v>
      </c>
      <c r="D22">
        <f t="shared" si="0"/>
        <v>0.18686868686868688</v>
      </c>
      <c r="E22">
        <f t="shared" si="1"/>
        <v>-0.88949450753063364</v>
      </c>
    </row>
    <row r="23" spans="2:5" x14ac:dyDescent="0.3">
      <c r="B23">
        <f>lns!J35</f>
        <v>-0.34287348093933778</v>
      </c>
      <c r="C23">
        <v>20</v>
      </c>
      <c r="D23">
        <f t="shared" si="0"/>
        <v>0.19696969696969696</v>
      </c>
      <c r="E23">
        <f t="shared" si="1"/>
        <v>-0.85249503427469364</v>
      </c>
    </row>
    <row r="24" spans="2:5" x14ac:dyDescent="0.3">
      <c r="B24">
        <f>lns!J83</f>
        <v>-0.33884204239409699</v>
      </c>
      <c r="C24">
        <v>21</v>
      </c>
      <c r="D24">
        <f t="shared" si="0"/>
        <v>0.20707070707070707</v>
      </c>
      <c r="E24">
        <f t="shared" si="1"/>
        <v>-0.81662736084860543</v>
      </c>
    </row>
    <row r="25" spans="2:5" x14ac:dyDescent="0.3">
      <c r="B25">
        <f>lns!J30</f>
        <v>-0.3288569069905326</v>
      </c>
      <c r="C25">
        <v>22</v>
      </c>
      <c r="D25">
        <f t="shared" si="0"/>
        <v>0.21717171717171718</v>
      </c>
      <c r="E25">
        <f t="shared" si="1"/>
        <v>-0.78178075276507197</v>
      </c>
    </row>
    <row r="26" spans="2:5" x14ac:dyDescent="0.3">
      <c r="B26">
        <f>lns!J76</f>
        <v>-0.32596978098926338</v>
      </c>
      <c r="C26">
        <v>23</v>
      </c>
      <c r="D26">
        <f t="shared" si="0"/>
        <v>0.22727272727272727</v>
      </c>
      <c r="E26">
        <f t="shared" si="1"/>
        <v>-0.74785859476330196</v>
      </c>
    </row>
    <row r="27" spans="2:5" x14ac:dyDescent="0.3">
      <c r="B27">
        <f>lns!J46</f>
        <v>-0.325630422069628</v>
      </c>
      <c r="C27">
        <v>24</v>
      </c>
      <c r="D27">
        <f t="shared" si="0"/>
        <v>0.23737373737373738</v>
      </c>
      <c r="E27">
        <f t="shared" si="1"/>
        <v>-0.71477598810315091</v>
      </c>
    </row>
    <row r="28" spans="2:5" x14ac:dyDescent="0.3">
      <c r="B28">
        <f>lns!J33</f>
        <v>-0.32070263300378538</v>
      </c>
      <c r="C28">
        <v>25</v>
      </c>
      <c r="D28">
        <f t="shared" si="0"/>
        <v>0.24747474747474749</v>
      </c>
      <c r="E28">
        <f t="shared" si="1"/>
        <v>-0.68245783666933024</v>
      </c>
    </row>
    <row r="29" spans="2:5" x14ac:dyDescent="0.3">
      <c r="B29">
        <f>lns!J56</f>
        <v>-0.31379062033890714</v>
      </c>
      <c r="C29">
        <v>26</v>
      </c>
      <c r="D29">
        <f t="shared" si="0"/>
        <v>0.25757575757575757</v>
      </c>
      <c r="E29">
        <f t="shared" si="1"/>
        <v>-0.65083730644447746</v>
      </c>
    </row>
    <row r="30" spans="2:5" x14ac:dyDescent="0.3">
      <c r="B30">
        <f>lns!J45</f>
        <v>-0.30818278335163091</v>
      </c>
      <c r="C30">
        <v>27</v>
      </c>
      <c r="D30">
        <f t="shared" si="0"/>
        <v>0.26767676767676768</v>
      </c>
      <c r="E30">
        <f t="shared" si="1"/>
        <v>-0.61985457356549389</v>
      </c>
    </row>
    <row r="31" spans="2:5" x14ac:dyDescent="0.3">
      <c r="B31">
        <f>lns!J61</f>
        <v>-0.30712588412998465</v>
      </c>
      <c r="C31">
        <v>28</v>
      </c>
      <c r="D31">
        <f t="shared" si="0"/>
        <v>0.27777777777777779</v>
      </c>
      <c r="E31">
        <f t="shared" si="1"/>
        <v>-0.58945579784977842</v>
      </c>
    </row>
    <row r="32" spans="2:5" x14ac:dyDescent="0.3">
      <c r="B32">
        <f>lns!J82</f>
        <v>-0.30632952721673817</v>
      </c>
      <c r="C32">
        <v>29</v>
      </c>
      <c r="D32">
        <f t="shared" si="0"/>
        <v>0.2878787878787879</v>
      </c>
      <c r="E32">
        <f t="shared" si="1"/>
        <v>-0.5595922742274323</v>
      </c>
    </row>
    <row r="33" spans="2:5" x14ac:dyDescent="0.3">
      <c r="B33">
        <f>lns!J55</f>
        <v>-0.30161873819065388</v>
      </c>
      <c r="C33">
        <v>30</v>
      </c>
      <c r="D33">
        <f t="shared" si="0"/>
        <v>0.29797979797979796</v>
      </c>
      <c r="E33">
        <f t="shared" si="1"/>
        <v>-0.53021972582422794</v>
      </c>
    </row>
    <row r="34" spans="2:5" x14ac:dyDescent="0.3">
      <c r="B34">
        <f>lns!J94</f>
        <v>-0.29469460286961852</v>
      </c>
      <c r="C34">
        <v>31</v>
      </c>
      <c r="D34">
        <f t="shared" si="0"/>
        <v>0.30808080808080807</v>
      </c>
      <c r="E34">
        <f t="shared" si="1"/>
        <v>-0.50129771076772867</v>
      </c>
    </row>
    <row r="35" spans="2:5" x14ac:dyDescent="0.3">
      <c r="B35">
        <f>lns!J37</f>
        <v>-0.29006223612867299</v>
      </c>
      <c r="C35">
        <v>32</v>
      </c>
      <c r="D35">
        <f t="shared" si="0"/>
        <v>0.31818181818181818</v>
      </c>
      <c r="E35">
        <f t="shared" si="1"/>
        <v>-0.47278912099226744</v>
      </c>
    </row>
    <row r="36" spans="2:5" x14ac:dyDescent="0.3">
      <c r="B36">
        <f>lns!J91</f>
        <v>-0.26267991427965182</v>
      </c>
      <c r="C36">
        <v>33</v>
      </c>
      <c r="D36">
        <f t="shared" si="0"/>
        <v>0.32828282828282829</v>
      </c>
      <c r="E36">
        <f t="shared" si="1"/>
        <v>-0.4446597559886718</v>
      </c>
    </row>
    <row r="37" spans="2:5" x14ac:dyDescent="0.3">
      <c r="B37">
        <f>lns!J26</f>
        <v>-0.25153273782298596</v>
      </c>
      <c r="C37">
        <v>34</v>
      </c>
      <c r="D37">
        <f t="shared" si="0"/>
        <v>0.3383838383838384</v>
      </c>
      <c r="E37">
        <f t="shared" si="1"/>
        <v>-0.41687795799540722</v>
      </c>
    </row>
    <row r="38" spans="2:5" x14ac:dyDescent="0.3">
      <c r="B38">
        <f>lns!J53</f>
        <v>-0.24705337661251217</v>
      </c>
      <c r="C38">
        <v>35</v>
      </c>
      <c r="D38">
        <f t="shared" si="0"/>
        <v>0.34848484848484851</v>
      </c>
      <c r="E38">
        <f t="shared" si="1"/>
        <v>-0.38941429785214438</v>
      </c>
    </row>
    <row r="39" spans="2:5" x14ac:dyDescent="0.3">
      <c r="B39">
        <f>lns!J74</f>
        <v>-0.23967316576546921</v>
      </c>
      <c r="C39">
        <v>36</v>
      </c>
      <c r="D39">
        <f t="shared" si="0"/>
        <v>0.35858585858585856</v>
      </c>
      <c r="E39">
        <f t="shared" si="1"/>
        <v>-0.3622413028447366</v>
      </c>
    </row>
    <row r="40" spans="2:5" x14ac:dyDescent="0.3">
      <c r="B40">
        <f>lns!J67</f>
        <v>-0.22500152628121825</v>
      </c>
      <c r="C40">
        <v>37</v>
      </c>
      <c r="D40">
        <f t="shared" si="0"/>
        <v>0.36868686868686867</v>
      </c>
      <c r="E40">
        <f t="shared" si="1"/>
        <v>-0.33533321951439826</v>
      </c>
    </row>
    <row r="41" spans="2:5" x14ac:dyDescent="0.3">
      <c r="B41">
        <f>lns!J63</f>
        <v>-0.20639460135624133</v>
      </c>
      <c r="C41">
        <v>38</v>
      </c>
      <c r="D41">
        <f t="shared" si="0"/>
        <v>0.37878787878787878</v>
      </c>
      <c r="E41">
        <f t="shared" si="1"/>
        <v>-0.30866580569493407</v>
      </c>
    </row>
    <row r="42" spans="2:5" x14ac:dyDescent="0.3">
      <c r="B42">
        <f>lns!J34</f>
        <v>-0.19752332031437037</v>
      </c>
      <c r="C42">
        <v>39</v>
      </c>
      <c r="D42">
        <f t="shared" si="0"/>
        <v>0.3888888888888889</v>
      </c>
      <c r="E42">
        <f t="shared" si="1"/>
        <v>-0.28221614706250814</v>
      </c>
    </row>
    <row r="43" spans="2:5" x14ac:dyDescent="0.3">
      <c r="B43">
        <f>lns!J81</f>
        <v>-0.18677063930006718</v>
      </c>
      <c r="C43">
        <v>40</v>
      </c>
      <c r="D43">
        <f t="shared" si="0"/>
        <v>0.39898989898989901</v>
      </c>
      <c r="E43">
        <f t="shared" si="1"/>
        <v>-0.25596249429406465</v>
      </c>
    </row>
    <row r="44" spans="2:5" x14ac:dyDescent="0.3">
      <c r="B44">
        <f>lns!J90</f>
        <v>-0.17403320031481398</v>
      </c>
      <c r="C44">
        <v>41</v>
      </c>
      <c r="D44">
        <f t="shared" si="0"/>
        <v>0.40909090909090912</v>
      </c>
      <c r="E44">
        <f t="shared" si="1"/>
        <v>-0.22988411757923208</v>
      </c>
    </row>
    <row r="45" spans="2:5" x14ac:dyDescent="0.3">
      <c r="B45">
        <f>lns!J43</f>
        <v>-0.16663798942461622</v>
      </c>
      <c r="C45">
        <v>42</v>
      </c>
      <c r="D45">
        <f t="shared" si="0"/>
        <v>0.41919191919191917</v>
      </c>
      <c r="E45">
        <f t="shared" si="1"/>
        <v>-0.20396117575131437</v>
      </c>
    </row>
    <row r="46" spans="2:5" x14ac:dyDescent="0.3">
      <c r="B46">
        <f>lns!J68</f>
        <v>-0.16473196469005</v>
      </c>
      <c r="C46">
        <v>43</v>
      </c>
      <c r="D46">
        <f t="shared" si="0"/>
        <v>0.42929292929292928</v>
      </c>
      <c r="E46">
        <f t="shared" si="1"/>
        <v>-0.17817459772241043</v>
      </c>
    </row>
    <row r="47" spans="2:5" x14ac:dyDescent="0.3">
      <c r="B47">
        <f>lns!J65</f>
        <v>-0.15639653320238178</v>
      </c>
      <c r="C47">
        <v>44</v>
      </c>
      <c r="D47">
        <f t="shared" si="0"/>
        <v>0.43939393939393939</v>
      </c>
      <c r="E47">
        <f t="shared" si="1"/>
        <v>-0.15250597424624437</v>
      </c>
    </row>
    <row r="48" spans="2:5" x14ac:dyDescent="0.3">
      <c r="B48">
        <f>lns!J59</f>
        <v>-0.14332433015038454</v>
      </c>
      <c r="C48">
        <v>45</v>
      </c>
      <c r="D48">
        <f t="shared" si="0"/>
        <v>0.4494949494949495</v>
      </c>
      <c r="E48">
        <f t="shared" si="1"/>
        <v>-0.12693745830564304</v>
      </c>
    </row>
    <row r="49" spans="2:5" x14ac:dyDescent="0.3">
      <c r="B49">
        <f>lns!J21</f>
        <v>-0.13974379253986791</v>
      </c>
      <c r="C49">
        <v>46</v>
      </c>
      <c r="D49">
        <f t="shared" si="0"/>
        <v>0.45959595959595961</v>
      </c>
      <c r="E49">
        <f t="shared" si="1"/>
        <v>-0.1014516726419474</v>
      </c>
    </row>
    <row r="50" spans="2:5" x14ac:dyDescent="0.3">
      <c r="B50">
        <f>lns!J4</f>
        <v>-0.13475270955708912</v>
      </c>
      <c r="C50">
        <v>47</v>
      </c>
      <c r="D50">
        <f t="shared" si="0"/>
        <v>0.46969696969696972</v>
      </c>
      <c r="E50">
        <f t="shared" si="1"/>
        <v>-7.60316231203884E-2</v>
      </c>
    </row>
    <row r="51" spans="2:5" x14ac:dyDescent="0.3">
      <c r="B51">
        <f>lns!J28</f>
        <v>-0.13189273595601411</v>
      </c>
      <c r="C51">
        <v>48</v>
      </c>
      <c r="D51">
        <f t="shared" si="0"/>
        <v>0.47979797979797978</v>
      </c>
      <c r="E51">
        <f t="shared" si="1"/>
        <v>-5.0660616765876576E-2</v>
      </c>
    </row>
    <row r="52" spans="2:5" x14ac:dyDescent="0.3">
      <c r="B52">
        <f>lns!J24</f>
        <v>-0.12591249031128762</v>
      </c>
      <c r="C52">
        <v>49</v>
      </c>
      <c r="D52">
        <f t="shared" si="0"/>
        <v>0.48989898989898989</v>
      </c>
      <c r="E52">
        <f t="shared" si="1"/>
        <v>-2.5322183413346296E-2</v>
      </c>
    </row>
    <row r="53" spans="2:5" x14ac:dyDescent="0.3">
      <c r="B53">
        <f>lns!J48</f>
        <v>-0.11204055530279958</v>
      </c>
      <c r="C53">
        <v>50</v>
      </c>
      <c r="D53">
        <f t="shared" si="0"/>
        <v>0.5</v>
      </c>
      <c r="E53">
        <f t="shared" si="1"/>
        <v>0</v>
      </c>
    </row>
    <row r="54" spans="2:5" x14ac:dyDescent="0.3">
      <c r="B54">
        <f>lns!J19</f>
        <v>-0.10432549592004431</v>
      </c>
      <c r="C54">
        <v>51</v>
      </c>
      <c r="D54">
        <f t="shared" si="0"/>
        <v>0.51010101010101006</v>
      </c>
      <c r="E54">
        <f t="shared" si="1"/>
        <v>2.5322183413346164E-2</v>
      </c>
    </row>
    <row r="55" spans="2:5" x14ac:dyDescent="0.3">
      <c r="B55">
        <f>lns!J39</f>
        <v>-8.0709096327809621E-2</v>
      </c>
      <c r="C55">
        <v>52</v>
      </c>
      <c r="D55">
        <f t="shared" si="0"/>
        <v>0.52020202020202022</v>
      </c>
      <c r="E55">
        <f t="shared" si="1"/>
        <v>5.0660616765876576E-2</v>
      </c>
    </row>
    <row r="56" spans="2:5" x14ac:dyDescent="0.3">
      <c r="B56">
        <f>lns!J75</f>
        <v>-7.5746698748386757E-2</v>
      </c>
      <c r="C56">
        <v>53</v>
      </c>
      <c r="D56">
        <f t="shared" si="0"/>
        <v>0.53030303030303028</v>
      </c>
      <c r="E56">
        <f t="shared" si="1"/>
        <v>7.60316231203884E-2</v>
      </c>
    </row>
    <row r="57" spans="2:5" x14ac:dyDescent="0.3">
      <c r="B57">
        <f>lns!J47</f>
        <v>-6.3891263987015112E-2</v>
      </c>
      <c r="C57">
        <v>54</v>
      </c>
      <c r="D57">
        <f t="shared" si="0"/>
        <v>0.54040404040404044</v>
      </c>
      <c r="E57">
        <f t="shared" si="1"/>
        <v>0.10145167264194754</v>
      </c>
    </row>
    <row r="58" spans="2:5" x14ac:dyDescent="0.3">
      <c r="B58">
        <f>lns!J50</f>
        <v>-6.1119306652805065E-2</v>
      </c>
      <c r="C58">
        <v>55</v>
      </c>
      <c r="D58">
        <f t="shared" si="0"/>
        <v>0.5505050505050505</v>
      </c>
      <c r="E58">
        <f t="shared" si="1"/>
        <v>0.12693745830564304</v>
      </c>
    </row>
    <row r="59" spans="2:5" x14ac:dyDescent="0.3">
      <c r="B59">
        <f>lns!J57</f>
        <v>-4.0775120618853571E-2</v>
      </c>
      <c r="C59">
        <v>56</v>
      </c>
      <c r="D59">
        <f t="shared" si="0"/>
        <v>0.56060606060606055</v>
      </c>
      <c r="E59">
        <f t="shared" si="1"/>
        <v>0.15250597424624424</v>
      </c>
    </row>
    <row r="60" spans="2:5" x14ac:dyDescent="0.3">
      <c r="B60">
        <f>lns!J52</f>
        <v>-2.0948904020390808E-2</v>
      </c>
      <c r="C60">
        <v>57</v>
      </c>
      <c r="D60">
        <f t="shared" si="0"/>
        <v>0.57070707070707072</v>
      </c>
      <c r="E60">
        <f t="shared" si="1"/>
        <v>0.17817459772241043</v>
      </c>
    </row>
    <row r="61" spans="2:5" x14ac:dyDescent="0.3">
      <c r="B61">
        <f>lns!J22</f>
        <v>-1.4213535409569522E-2</v>
      </c>
      <c r="C61">
        <v>58</v>
      </c>
      <c r="D61">
        <f t="shared" si="0"/>
        <v>0.58080808080808077</v>
      </c>
      <c r="E61">
        <f t="shared" si="1"/>
        <v>0.2039611757513142</v>
      </c>
    </row>
    <row r="62" spans="2:5" x14ac:dyDescent="0.3">
      <c r="B62">
        <f>lns!J32</f>
        <v>-5.9406105370724393E-3</v>
      </c>
      <c r="C62">
        <v>59</v>
      </c>
      <c r="D62">
        <f t="shared" si="0"/>
        <v>0.59090909090909094</v>
      </c>
      <c r="E62">
        <f t="shared" si="1"/>
        <v>0.22988411757923222</v>
      </c>
    </row>
    <row r="63" spans="2:5" x14ac:dyDescent="0.3">
      <c r="B63">
        <f>lns!J89</f>
        <v>5.7832447557273608E-3</v>
      </c>
      <c r="C63">
        <v>60</v>
      </c>
      <c r="D63">
        <f t="shared" si="0"/>
        <v>0.60101010101010099</v>
      </c>
      <c r="E63">
        <f t="shared" si="1"/>
        <v>0.25596249429406465</v>
      </c>
    </row>
    <row r="64" spans="2:5" x14ac:dyDescent="0.3">
      <c r="B64">
        <f>lns!J27</f>
        <v>8.3044352074347461E-2</v>
      </c>
      <c r="C64">
        <v>61</v>
      </c>
      <c r="D64">
        <f t="shared" si="0"/>
        <v>0.61111111111111116</v>
      </c>
      <c r="E64">
        <f t="shared" si="1"/>
        <v>0.28221614706250825</v>
      </c>
    </row>
    <row r="65" spans="2:5" x14ac:dyDescent="0.3">
      <c r="B65">
        <f>lns!J25</f>
        <v>8.5149645041681168E-2</v>
      </c>
      <c r="C65">
        <v>62</v>
      </c>
      <c r="D65">
        <f t="shared" si="0"/>
        <v>0.62121212121212122</v>
      </c>
      <c r="E65">
        <f t="shared" si="1"/>
        <v>0.30866580569493407</v>
      </c>
    </row>
    <row r="66" spans="2:5" x14ac:dyDescent="0.3">
      <c r="B66">
        <f>lns!J96</f>
        <v>0.10485538810238076</v>
      </c>
      <c r="C66">
        <v>63</v>
      </c>
      <c r="D66">
        <f t="shared" si="0"/>
        <v>0.63131313131313127</v>
      </c>
      <c r="E66">
        <f t="shared" si="1"/>
        <v>0.3353332195143981</v>
      </c>
    </row>
    <row r="67" spans="2:5" x14ac:dyDescent="0.3">
      <c r="B67">
        <f>lns!J77</f>
        <v>0.10515249402282628</v>
      </c>
      <c r="C67">
        <v>64</v>
      </c>
      <c r="D67">
        <f t="shared" si="0"/>
        <v>0.64141414141414144</v>
      </c>
      <c r="E67">
        <f t="shared" si="1"/>
        <v>0.3622413028447366</v>
      </c>
    </row>
    <row r="68" spans="2:5" x14ac:dyDescent="0.3">
      <c r="B68">
        <f>lns!J95</f>
        <v>0.1273988771308717</v>
      </c>
      <c r="C68">
        <v>65</v>
      </c>
      <c r="D68">
        <f t="shared" si="0"/>
        <v>0.65151515151515149</v>
      </c>
      <c r="E68">
        <f t="shared" si="1"/>
        <v>0.38941429785214438</v>
      </c>
    </row>
    <row r="69" spans="2:5" x14ac:dyDescent="0.3">
      <c r="B69">
        <f>lns!J18</f>
        <v>0.1284723673085772</v>
      </c>
      <c r="C69">
        <v>66</v>
      </c>
      <c r="D69">
        <f t="shared" si="0"/>
        <v>0.66161616161616166</v>
      </c>
      <c r="E69">
        <f t="shared" si="1"/>
        <v>0.41687795799540739</v>
      </c>
    </row>
    <row r="70" spans="2:5" x14ac:dyDescent="0.3">
      <c r="B70">
        <f>lns!J92</f>
        <v>0.13313131260318295</v>
      </c>
      <c r="C70">
        <v>67</v>
      </c>
      <c r="D70">
        <f t="shared" ref="D70:D102" si="2">(C70-0.5)/99</f>
        <v>0.67171717171717171</v>
      </c>
      <c r="E70">
        <f t="shared" ref="E70:E102" si="3">NORMSINV(D70)</f>
        <v>0.4446597559886718</v>
      </c>
    </row>
    <row r="71" spans="2:5" x14ac:dyDescent="0.3">
      <c r="B71">
        <f>lns!J84</f>
        <v>0.13617290076797442</v>
      </c>
      <c r="C71">
        <v>68</v>
      </c>
      <c r="D71">
        <f t="shared" si="2"/>
        <v>0.68181818181818177</v>
      </c>
      <c r="E71">
        <f t="shared" si="3"/>
        <v>0.47278912099226728</v>
      </c>
    </row>
    <row r="72" spans="2:5" x14ac:dyDescent="0.3">
      <c r="B72">
        <f>lns!J51</f>
        <v>0.13724573590286382</v>
      </c>
      <c r="C72">
        <v>69</v>
      </c>
      <c r="D72">
        <f t="shared" si="2"/>
        <v>0.69191919191919193</v>
      </c>
      <c r="E72">
        <f t="shared" si="3"/>
        <v>0.50129771076772867</v>
      </c>
    </row>
    <row r="73" spans="2:5" x14ac:dyDescent="0.3">
      <c r="B73">
        <f>lns!J101</f>
        <v>0.14926447603852158</v>
      </c>
      <c r="C73">
        <v>70</v>
      </c>
      <c r="D73">
        <f t="shared" si="2"/>
        <v>0.70202020202020199</v>
      </c>
      <c r="E73">
        <f t="shared" si="3"/>
        <v>0.53021972582422772</v>
      </c>
    </row>
    <row r="74" spans="2:5" x14ac:dyDescent="0.3">
      <c r="B74">
        <f>lns!J100</f>
        <v>0.17448257879917664</v>
      </c>
      <c r="C74">
        <v>71</v>
      </c>
      <c r="D74">
        <f t="shared" si="2"/>
        <v>0.71212121212121215</v>
      </c>
      <c r="E74">
        <f t="shared" si="3"/>
        <v>0.55959227422743252</v>
      </c>
    </row>
    <row r="75" spans="2:5" x14ac:dyDescent="0.3">
      <c r="B75">
        <f>lns!J5</f>
        <v>0.18197149552965927</v>
      </c>
      <c r="C75">
        <v>72</v>
      </c>
      <c r="D75">
        <f t="shared" si="2"/>
        <v>0.72222222222222221</v>
      </c>
      <c r="E75">
        <f t="shared" si="3"/>
        <v>0.58945579784977842</v>
      </c>
    </row>
    <row r="76" spans="2:5" x14ac:dyDescent="0.3">
      <c r="B76">
        <f>lns!J78</f>
        <v>0.19697204570043894</v>
      </c>
      <c r="C76">
        <v>73</v>
      </c>
      <c r="D76">
        <f t="shared" si="2"/>
        <v>0.73232323232323238</v>
      </c>
      <c r="E76">
        <f t="shared" si="3"/>
        <v>0.61985457356549423</v>
      </c>
    </row>
    <row r="77" spans="2:5" x14ac:dyDescent="0.3">
      <c r="B77">
        <f>lns!J80</f>
        <v>0.23350567855572427</v>
      </c>
      <c r="C77">
        <v>74</v>
      </c>
      <c r="D77">
        <f t="shared" si="2"/>
        <v>0.74242424242424243</v>
      </c>
      <c r="E77">
        <f t="shared" si="3"/>
        <v>0.65083730644447746</v>
      </c>
    </row>
    <row r="78" spans="2:5" x14ac:dyDescent="0.3">
      <c r="B78">
        <f>lns!J93</f>
        <v>0.26651716767684558</v>
      </c>
      <c r="C78">
        <v>75</v>
      </c>
      <c r="D78">
        <f t="shared" si="2"/>
        <v>0.75252525252525249</v>
      </c>
      <c r="E78">
        <f t="shared" si="3"/>
        <v>0.68245783666933024</v>
      </c>
    </row>
    <row r="79" spans="2:5" x14ac:dyDescent="0.3">
      <c r="B79">
        <f>lns!J64</f>
        <v>0.27629751358514287</v>
      </c>
      <c r="C79">
        <v>76</v>
      </c>
      <c r="D79">
        <f t="shared" si="2"/>
        <v>0.76262626262626265</v>
      </c>
      <c r="E79">
        <f t="shared" si="3"/>
        <v>0.71477598810315091</v>
      </c>
    </row>
    <row r="80" spans="2:5" x14ac:dyDescent="0.3">
      <c r="B80">
        <f>lns!J20</f>
        <v>0.28099727892305931</v>
      </c>
      <c r="C80">
        <v>77</v>
      </c>
      <c r="D80">
        <f t="shared" si="2"/>
        <v>0.77272727272727271</v>
      </c>
      <c r="E80">
        <f t="shared" si="3"/>
        <v>0.74785859476330196</v>
      </c>
    </row>
    <row r="81" spans="2:5" x14ac:dyDescent="0.3">
      <c r="B81">
        <f>lns!J102</f>
        <v>0.31666303787486993</v>
      </c>
      <c r="C81">
        <v>78</v>
      </c>
      <c r="D81">
        <f t="shared" si="2"/>
        <v>0.78282828282828287</v>
      </c>
      <c r="E81">
        <f t="shared" si="3"/>
        <v>0.78178075276507275</v>
      </c>
    </row>
    <row r="82" spans="2:5" x14ac:dyDescent="0.3">
      <c r="B82">
        <f>lns!J23</f>
        <v>0.32608995534803586</v>
      </c>
      <c r="C82">
        <v>79</v>
      </c>
      <c r="D82">
        <f t="shared" si="2"/>
        <v>0.79292929292929293</v>
      </c>
      <c r="E82">
        <f t="shared" si="3"/>
        <v>0.81662736084860543</v>
      </c>
    </row>
    <row r="83" spans="2:5" x14ac:dyDescent="0.3">
      <c r="B83">
        <f>lns!J98</f>
        <v>0.35150862144732625</v>
      </c>
      <c r="C83">
        <v>80</v>
      </c>
      <c r="D83">
        <f t="shared" si="2"/>
        <v>0.80303030303030298</v>
      </c>
      <c r="E83">
        <f t="shared" si="3"/>
        <v>0.85249503427469353</v>
      </c>
    </row>
    <row r="84" spans="2:5" x14ac:dyDescent="0.3">
      <c r="B84">
        <f>lns!J99</f>
        <v>0.38381237041271171</v>
      </c>
      <c r="C84">
        <v>81</v>
      </c>
      <c r="D84">
        <f t="shared" si="2"/>
        <v>0.81313131313131315</v>
      </c>
      <c r="E84">
        <f t="shared" si="3"/>
        <v>0.88949450753063364</v>
      </c>
    </row>
    <row r="85" spans="2:5" x14ac:dyDescent="0.3">
      <c r="B85">
        <f>lns!J87</f>
        <v>0.4287258016827164</v>
      </c>
      <c r="C85">
        <v>82</v>
      </c>
      <c r="D85">
        <f t="shared" si="2"/>
        <v>0.8232323232323232</v>
      </c>
      <c r="E85">
        <f t="shared" si="3"/>
        <v>0.92775368535742475</v>
      </c>
    </row>
    <row r="86" spans="2:5" x14ac:dyDescent="0.3">
      <c r="B86">
        <f>lns!J13</f>
        <v>0.46214785328015201</v>
      </c>
      <c r="C86">
        <v>83</v>
      </c>
      <c r="D86">
        <f t="shared" si="2"/>
        <v>0.83333333333333337</v>
      </c>
      <c r="E86">
        <f t="shared" si="3"/>
        <v>0.96742156610170071</v>
      </c>
    </row>
    <row r="87" spans="2:5" x14ac:dyDescent="0.3">
      <c r="B87">
        <f>lns!J7</f>
        <v>0.49801390303865484</v>
      </c>
      <c r="C87">
        <v>84</v>
      </c>
      <c r="D87">
        <f t="shared" si="2"/>
        <v>0.84343434343434343</v>
      </c>
      <c r="E87">
        <f t="shared" si="3"/>
        <v>1.0086733576467986</v>
      </c>
    </row>
    <row r="88" spans="2:5" x14ac:dyDescent="0.3">
      <c r="B88">
        <f>lns!J17</f>
        <v>0.54284740978872825</v>
      </c>
      <c r="C88">
        <v>85</v>
      </c>
      <c r="D88">
        <f t="shared" si="2"/>
        <v>0.85353535353535348</v>
      </c>
      <c r="E88">
        <f t="shared" si="3"/>
        <v>1.0517172529984837</v>
      </c>
    </row>
    <row r="89" spans="2:5" x14ac:dyDescent="0.3">
      <c r="B89">
        <f>lns!J6</f>
        <v>0.55185431692261078</v>
      </c>
      <c r="C89">
        <v>86</v>
      </c>
      <c r="D89">
        <f t="shared" si="2"/>
        <v>0.86363636363636365</v>
      </c>
      <c r="E89">
        <f t="shared" si="3"/>
        <v>1.096803562093513</v>
      </c>
    </row>
    <row r="90" spans="2:5" x14ac:dyDescent="0.3">
      <c r="B90">
        <f>lns!J79</f>
        <v>0.60787247649871101</v>
      </c>
      <c r="C90">
        <v>87</v>
      </c>
      <c r="D90">
        <f t="shared" si="2"/>
        <v>0.8737373737373737</v>
      </c>
      <c r="E90">
        <f t="shared" si="3"/>
        <v>1.1442372651002066</v>
      </c>
    </row>
    <row r="91" spans="2:5" x14ac:dyDescent="0.3">
      <c r="B91">
        <f>lns!J88</f>
        <v>0.64683095368252252</v>
      </c>
      <c r="C91">
        <v>88</v>
      </c>
      <c r="D91">
        <f t="shared" si="2"/>
        <v>0.88383838383838387</v>
      </c>
      <c r="E91">
        <f t="shared" si="3"/>
        <v>1.1943956635681565</v>
      </c>
    </row>
    <row r="92" spans="2:5" x14ac:dyDescent="0.3">
      <c r="B92">
        <f>lns!J14</f>
        <v>0.77883852001659837</v>
      </c>
      <c r="C92">
        <v>89</v>
      </c>
      <c r="D92">
        <f t="shared" si="2"/>
        <v>0.89393939393939392</v>
      </c>
      <c r="E92">
        <f t="shared" si="3"/>
        <v>1.2477538553513243</v>
      </c>
    </row>
    <row r="93" spans="2:5" x14ac:dyDescent="0.3">
      <c r="B93">
        <f>lns!J12</f>
        <v>0.82612529515440269</v>
      </c>
      <c r="C93">
        <v>90</v>
      </c>
      <c r="D93">
        <f t="shared" si="2"/>
        <v>0.90404040404040409</v>
      </c>
      <c r="E93">
        <f t="shared" si="3"/>
        <v>1.3049226377527239</v>
      </c>
    </row>
    <row r="94" spans="2:5" x14ac:dyDescent="0.3">
      <c r="B94">
        <f>lns!J16</f>
        <v>0.87478517044193016</v>
      </c>
      <c r="C94">
        <v>91</v>
      </c>
      <c r="D94">
        <f t="shared" si="2"/>
        <v>0.91414141414141414</v>
      </c>
      <c r="E94">
        <f t="shared" si="3"/>
        <v>1.3667069718079636</v>
      </c>
    </row>
    <row r="95" spans="2:5" x14ac:dyDescent="0.3">
      <c r="B95">
        <f>lns!J11</f>
        <v>0.91346273686310819</v>
      </c>
      <c r="C95">
        <v>92</v>
      </c>
      <c r="D95">
        <f t="shared" si="2"/>
        <v>0.9242424242424242</v>
      </c>
      <c r="E95">
        <f t="shared" si="3"/>
        <v>1.434200159686378</v>
      </c>
    </row>
    <row r="96" spans="2:5" x14ac:dyDescent="0.3">
      <c r="B96">
        <f>lns!J15</f>
        <v>0.93777038355108699</v>
      </c>
      <c r="C96">
        <v>93</v>
      </c>
      <c r="D96">
        <f t="shared" si="2"/>
        <v>0.93434343434343436</v>
      </c>
      <c r="E96">
        <f t="shared" si="3"/>
        <v>1.5089438550380383</v>
      </c>
    </row>
    <row r="97" spans="2:5" x14ac:dyDescent="0.3">
      <c r="B97">
        <f>lns!J97</f>
        <v>1.0508426036326837</v>
      </c>
      <c r="C97">
        <v>94</v>
      </c>
      <c r="D97">
        <f t="shared" si="2"/>
        <v>0.94444444444444442</v>
      </c>
      <c r="E97">
        <f t="shared" si="3"/>
        <v>1.59321881802305</v>
      </c>
    </row>
    <row r="98" spans="2:5" x14ac:dyDescent="0.3">
      <c r="B98">
        <f>lns!J85</f>
        <v>1.0691216841010509</v>
      </c>
      <c r="C98">
        <v>95</v>
      </c>
      <c r="D98">
        <f t="shared" si="2"/>
        <v>0.95454545454545459</v>
      </c>
      <c r="E98">
        <f t="shared" si="3"/>
        <v>1.6906216295848984</v>
      </c>
    </row>
    <row r="99" spans="2:5" x14ac:dyDescent="0.3">
      <c r="B99">
        <f>lns!J86</f>
        <v>1.0709806948335505</v>
      </c>
      <c r="C99">
        <v>96</v>
      </c>
      <c r="D99">
        <f t="shared" si="2"/>
        <v>0.96464646464646464</v>
      </c>
      <c r="E99">
        <f t="shared" si="3"/>
        <v>1.807354196799112</v>
      </c>
    </row>
    <row r="100" spans="2:5" x14ac:dyDescent="0.3">
      <c r="B100">
        <f>lns!J8</f>
        <v>1.0842124400431701</v>
      </c>
      <c r="C100">
        <v>97</v>
      </c>
      <c r="D100">
        <f t="shared" si="2"/>
        <v>0.9747474747474747</v>
      </c>
      <c r="E100">
        <f t="shared" si="3"/>
        <v>1.9556614355881674</v>
      </c>
    </row>
    <row r="101" spans="2:5" x14ac:dyDescent="0.3">
      <c r="B101">
        <f>lns!J9</f>
        <v>1.2358318715496441</v>
      </c>
      <c r="C101">
        <v>98</v>
      </c>
      <c r="D101">
        <f t="shared" si="2"/>
        <v>0.98484848484848486</v>
      </c>
      <c r="E101">
        <f t="shared" si="3"/>
        <v>2.166106752892329</v>
      </c>
    </row>
    <row r="102" spans="2:5" x14ac:dyDescent="0.3">
      <c r="B102">
        <f>lns!J10</f>
        <v>1.3715841952036023</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1C7AE-BE80-4594-81A7-41D5D0BE1494}">
  <dimension ref="B3:E102"/>
  <sheetViews>
    <sheetView workbookViewId="0">
      <selection activeCell="K23" sqref="K23"/>
    </sheetView>
  </sheetViews>
  <sheetFormatPr defaultRowHeight="14.4" x14ac:dyDescent="0.3"/>
  <cols>
    <col min="2" max="2" width="16.5546875" customWidth="1"/>
    <col min="4" max="4" width="15" customWidth="1"/>
    <col min="5" max="5" width="17.6640625" customWidth="1"/>
  </cols>
  <sheetData>
    <row r="3" spans="2:5" x14ac:dyDescent="0.3">
      <c r="B3" t="s">
        <v>21</v>
      </c>
      <c r="C3" t="s">
        <v>14</v>
      </c>
      <c r="D3" t="s">
        <v>15</v>
      </c>
      <c r="E3" t="s">
        <v>16</v>
      </c>
    </row>
    <row r="4" spans="2:5" x14ac:dyDescent="0.3">
      <c r="B4">
        <f>lns!K72</f>
        <v>-0.78933654673536868</v>
      </c>
      <c r="C4">
        <v>1</v>
      </c>
      <c r="D4">
        <f>(C4-0.5)/99</f>
        <v>5.0505050505050509E-3</v>
      </c>
      <c r="E4">
        <f>NORMSINV(D4)</f>
        <v>-2.5723521109428895</v>
      </c>
    </row>
    <row r="5" spans="2:5" x14ac:dyDescent="0.3">
      <c r="B5">
        <f>lns!K62</f>
        <v>-0.66544641407786898</v>
      </c>
      <c r="C5">
        <v>2</v>
      </c>
      <c r="D5">
        <f>(C5-0.5)/99</f>
        <v>1.5151515151515152E-2</v>
      </c>
      <c r="E5">
        <f>NORMSINV(D5)</f>
        <v>-2.1661067528923286</v>
      </c>
    </row>
    <row r="6" spans="2:5" x14ac:dyDescent="0.3">
      <c r="B6">
        <f>lns!K41</f>
        <v>-0.59442102367264416</v>
      </c>
      <c r="C6">
        <v>3</v>
      </c>
      <c r="D6">
        <f t="shared" ref="D6:D69" si="0">(C6-0.5)/99</f>
        <v>2.5252525252525252E-2</v>
      </c>
      <c r="E6">
        <f t="shared" ref="E6:E69" si="1">NORMSINV(D6)</f>
        <v>-1.9556614355881679</v>
      </c>
    </row>
    <row r="7" spans="2:5" x14ac:dyDescent="0.3">
      <c r="B7">
        <f>lns!K71</f>
        <v>-0.55911116527885463</v>
      </c>
      <c r="C7">
        <v>4</v>
      </c>
      <c r="D7">
        <f t="shared" si="0"/>
        <v>3.5353535353535352E-2</v>
      </c>
      <c r="E7">
        <f t="shared" si="1"/>
        <v>-1.807354196799112</v>
      </c>
    </row>
    <row r="8" spans="2:5" x14ac:dyDescent="0.3">
      <c r="B8">
        <f>lns!K66</f>
        <v>-0.50397083824922595</v>
      </c>
      <c r="C8">
        <v>5</v>
      </c>
      <c r="D8">
        <f t="shared" si="0"/>
        <v>4.5454545454545456E-2</v>
      </c>
      <c r="E8">
        <f t="shared" si="1"/>
        <v>-1.6906216295848977</v>
      </c>
    </row>
    <row r="9" spans="2:5" x14ac:dyDescent="0.3">
      <c r="B9">
        <f>lns!K73</f>
        <v>-0.45065286873185711</v>
      </c>
      <c r="C9">
        <v>6</v>
      </c>
      <c r="D9">
        <f t="shared" si="0"/>
        <v>5.5555555555555552E-2</v>
      </c>
      <c r="E9">
        <f t="shared" si="1"/>
        <v>-1.5932188180230502</v>
      </c>
    </row>
    <row r="10" spans="2:5" x14ac:dyDescent="0.3">
      <c r="B10">
        <f>lns!K54</f>
        <v>-0.44875107321228397</v>
      </c>
      <c r="C10">
        <v>7</v>
      </c>
      <c r="D10">
        <f t="shared" si="0"/>
        <v>6.5656565656565663E-2</v>
      </c>
      <c r="E10">
        <f t="shared" si="1"/>
        <v>-1.5089438550380374</v>
      </c>
    </row>
    <row r="11" spans="2:5" x14ac:dyDescent="0.3">
      <c r="B11">
        <f>lns!K44</f>
        <v>-0.4408565622409486</v>
      </c>
      <c r="C11">
        <v>8</v>
      </c>
      <c r="D11">
        <f t="shared" si="0"/>
        <v>7.575757575757576E-2</v>
      </c>
      <c r="E11">
        <f t="shared" si="1"/>
        <v>-1.4342001596863787</v>
      </c>
    </row>
    <row r="12" spans="2:5" x14ac:dyDescent="0.3">
      <c r="B12">
        <f>lns!K42</f>
        <v>-0.43904774512529054</v>
      </c>
      <c r="C12">
        <v>9</v>
      </c>
      <c r="D12">
        <f t="shared" si="0"/>
        <v>8.5858585858585856E-2</v>
      </c>
      <c r="E12">
        <f t="shared" si="1"/>
        <v>-1.3667069718079636</v>
      </c>
    </row>
    <row r="13" spans="2:5" x14ac:dyDescent="0.3">
      <c r="B13">
        <f>lns!K49</f>
        <v>-0.40099411789722739</v>
      </c>
      <c r="C13">
        <v>10</v>
      </c>
      <c r="D13">
        <f t="shared" si="0"/>
        <v>9.5959595959595953E-2</v>
      </c>
      <c r="E13">
        <f t="shared" si="1"/>
        <v>-1.304922637752725</v>
      </c>
    </row>
    <row r="14" spans="2:5" x14ac:dyDescent="0.3">
      <c r="B14">
        <f>lns!K46</f>
        <v>-0.38099105598575783</v>
      </c>
      <c r="C14">
        <v>11</v>
      </c>
      <c r="D14">
        <f t="shared" si="0"/>
        <v>0.10606060606060606</v>
      </c>
      <c r="E14">
        <f t="shared" si="1"/>
        <v>-1.2477538553513243</v>
      </c>
    </row>
    <row r="15" spans="2:5" x14ac:dyDescent="0.3">
      <c r="B15">
        <f>lns!K40</f>
        <v>-0.38069688861996881</v>
      </c>
      <c r="C15">
        <v>12</v>
      </c>
      <c r="D15">
        <f t="shared" si="0"/>
        <v>0.11616161616161616</v>
      </c>
      <c r="E15">
        <f t="shared" si="1"/>
        <v>-1.1943956635681565</v>
      </c>
    </row>
    <row r="16" spans="2:5" x14ac:dyDescent="0.3">
      <c r="B16">
        <f>lns!K61</f>
        <v>-0.37630638588795973</v>
      </c>
      <c r="C16">
        <v>13</v>
      </c>
      <c r="D16">
        <f t="shared" si="0"/>
        <v>0.12626262626262627</v>
      </c>
      <c r="E16">
        <f t="shared" si="1"/>
        <v>-1.1442372651002066</v>
      </c>
    </row>
    <row r="17" spans="2:5" x14ac:dyDescent="0.3">
      <c r="B17">
        <f>lns!K45</f>
        <v>-0.35794145991732068</v>
      </c>
      <c r="C17">
        <v>14</v>
      </c>
      <c r="D17">
        <f t="shared" si="0"/>
        <v>0.13636363636363635</v>
      </c>
      <c r="E17">
        <f t="shared" si="1"/>
        <v>-1.096803562093513</v>
      </c>
    </row>
    <row r="18" spans="2:5" x14ac:dyDescent="0.3">
      <c r="B18">
        <f>lns!K83</f>
        <v>-0.35143015051625021</v>
      </c>
      <c r="C18">
        <v>15</v>
      </c>
      <c r="D18">
        <f t="shared" si="0"/>
        <v>0.14646464646464646</v>
      </c>
      <c r="E18">
        <f t="shared" si="1"/>
        <v>-1.0517172529984806</v>
      </c>
    </row>
    <row r="19" spans="2:5" x14ac:dyDescent="0.3">
      <c r="B19">
        <f>lns!K82</f>
        <v>-0.31280434399901053</v>
      </c>
      <c r="C19">
        <v>16</v>
      </c>
      <c r="D19">
        <f t="shared" si="0"/>
        <v>0.15656565656565657</v>
      </c>
      <c r="E19">
        <f t="shared" si="1"/>
        <v>-1.0086733576467986</v>
      </c>
    </row>
    <row r="20" spans="2:5" x14ac:dyDescent="0.3">
      <c r="B20">
        <f>lns!K38</f>
        <v>-0.30971911419369724</v>
      </c>
      <c r="C20">
        <v>17</v>
      </c>
      <c r="D20">
        <f t="shared" si="0"/>
        <v>0.16666666666666666</v>
      </c>
      <c r="E20">
        <f t="shared" si="1"/>
        <v>-0.96742156610170071</v>
      </c>
    </row>
    <row r="21" spans="2:5" x14ac:dyDescent="0.3">
      <c r="B21">
        <f>lns!K58</f>
        <v>-0.30365970437866352</v>
      </c>
      <c r="C21">
        <v>18</v>
      </c>
      <c r="D21">
        <f t="shared" si="0"/>
        <v>0.17676767676767677</v>
      </c>
      <c r="E21">
        <f t="shared" si="1"/>
        <v>-0.92775368535742475</v>
      </c>
    </row>
    <row r="22" spans="2:5" x14ac:dyDescent="0.3">
      <c r="B22">
        <f>lns!K65</f>
        <v>-0.2749659330121908</v>
      </c>
      <c r="C22">
        <v>19</v>
      </c>
      <c r="D22">
        <f t="shared" si="0"/>
        <v>0.18686868686868688</v>
      </c>
      <c r="E22">
        <f t="shared" si="1"/>
        <v>-0.88949450753063364</v>
      </c>
    </row>
    <row r="23" spans="2:5" x14ac:dyDescent="0.3">
      <c r="B23">
        <f>lns!K70</f>
        <v>-0.26445915722385765</v>
      </c>
      <c r="C23">
        <v>20</v>
      </c>
      <c r="D23">
        <f t="shared" si="0"/>
        <v>0.19696969696969696</v>
      </c>
      <c r="E23">
        <f t="shared" si="1"/>
        <v>-0.85249503427469364</v>
      </c>
    </row>
    <row r="24" spans="2:5" x14ac:dyDescent="0.3">
      <c r="B24">
        <f>lns!K60</f>
        <v>-0.25151730600205646</v>
      </c>
      <c r="C24">
        <v>21</v>
      </c>
      <c r="D24">
        <f t="shared" si="0"/>
        <v>0.20707070707070707</v>
      </c>
      <c r="E24">
        <f t="shared" si="1"/>
        <v>-0.81662736084860543</v>
      </c>
    </row>
    <row r="25" spans="2:5" x14ac:dyDescent="0.3">
      <c r="B25">
        <f>lns!K33</f>
        <v>-0.2407743138171036</v>
      </c>
      <c r="C25">
        <v>22</v>
      </c>
      <c r="D25">
        <f t="shared" si="0"/>
        <v>0.21717171717171718</v>
      </c>
      <c r="E25">
        <f t="shared" si="1"/>
        <v>-0.78178075276507197</v>
      </c>
    </row>
    <row r="26" spans="2:5" x14ac:dyDescent="0.3">
      <c r="B26">
        <f>lns!K29</f>
        <v>-0.23897445137147566</v>
      </c>
      <c r="C26">
        <v>23</v>
      </c>
      <c r="D26">
        <f t="shared" si="0"/>
        <v>0.22727272727272727</v>
      </c>
      <c r="E26">
        <f t="shared" si="1"/>
        <v>-0.74785859476330196</v>
      </c>
    </row>
    <row r="27" spans="2:5" x14ac:dyDescent="0.3">
      <c r="B27">
        <f>lns!K31</f>
        <v>-0.23360306177731618</v>
      </c>
      <c r="C27">
        <v>24</v>
      </c>
      <c r="D27">
        <f t="shared" si="0"/>
        <v>0.23737373737373738</v>
      </c>
      <c r="E27">
        <f t="shared" si="1"/>
        <v>-0.71477598810315091</v>
      </c>
    </row>
    <row r="28" spans="2:5" x14ac:dyDescent="0.3">
      <c r="B28">
        <f>lns!K63</f>
        <v>-0.20796926534329854</v>
      </c>
      <c r="C28">
        <v>25</v>
      </c>
      <c r="D28">
        <f t="shared" si="0"/>
        <v>0.24747474747474749</v>
      </c>
      <c r="E28">
        <f t="shared" si="1"/>
        <v>-0.68245783666933024</v>
      </c>
    </row>
    <row r="29" spans="2:5" x14ac:dyDescent="0.3">
      <c r="B29">
        <f>lns!K36</f>
        <v>-0.19956741541058387</v>
      </c>
      <c r="C29">
        <v>26</v>
      </c>
      <c r="D29">
        <f t="shared" si="0"/>
        <v>0.25757575757575757</v>
      </c>
      <c r="E29">
        <f t="shared" si="1"/>
        <v>-0.65083730644447746</v>
      </c>
    </row>
    <row r="30" spans="2:5" x14ac:dyDescent="0.3">
      <c r="B30">
        <f>lns!K76</f>
        <v>-0.18807809390633423</v>
      </c>
      <c r="C30">
        <v>27</v>
      </c>
      <c r="D30">
        <f t="shared" si="0"/>
        <v>0.26767676767676768</v>
      </c>
      <c r="E30">
        <f t="shared" si="1"/>
        <v>-0.61985457356549389</v>
      </c>
    </row>
    <row r="31" spans="2:5" x14ac:dyDescent="0.3">
      <c r="B31">
        <f>lns!K37</f>
        <v>-0.17963756193283176</v>
      </c>
      <c r="C31">
        <v>28</v>
      </c>
      <c r="D31">
        <f t="shared" si="0"/>
        <v>0.27777777777777779</v>
      </c>
      <c r="E31">
        <f t="shared" si="1"/>
        <v>-0.58945579784977842</v>
      </c>
    </row>
    <row r="32" spans="2:5" x14ac:dyDescent="0.3">
      <c r="B32">
        <f>lns!K56</f>
        <v>-0.17373572079705971</v>
      </c>
      <c r="C32">
        <v>29</v>
      </c>
      <c r="D32">
        <f t="shared" si="0"/>
        <v>0.2878787878787879</v>
      </c>
      <c r="E32">
        <f t="shared" si="1"/>
        <v>-0.5595922742274323</v>
      </c>
    </row>
    <row r="33" spans="2:5" x14ac:dyDescent="0.3">
      <c r="B33">
        <f>lns!K74</f>
        <v>-0.17034120861302263</v>
      </c>
      <c r="C33">
        <v>30</v>
      </c>
      <c r="D33">
        <f t="shared" si="0"/>
        <v>0.29797979797979796</v>
      </c>
      <c r="E33">
        <f t="shared" si="1"/>
        <v>-0.53021972582422794</v>
      </c>
    </row>
    <row r="34" spans="2:5" x14ac:dyDescent="0.3">
      <c r="B34">
        <f>lns!K35</f>
        <v>-0.15091010283986148</v>
      </c>
      <c r="C34">
        <v>31</v>
      </c>
      <c r="D34">
        <f t="shared" si="0"/>
        <v>0.30808080808080807</v>
      </c>
      <c r="E34">
        <f t="shared" si="1"/>
        <v>-0.50129771076772867</v>
      </c>
    </row>
    <row r="35" spans="2:5" x14ac:dyDescent="0.3">
      <c r="B35">
        <f>lns!K59</f>
        <v>-9.2249069785892895E-2</v>
      </c>
      <c r="C35">
        <v>32</v>
      </c>
      <c r="D35">
        <f t="shared" si="0"/>
        <v>0.31818181818181818</v>
      </c>
      <c r="E35">
        <f t="shared" si="1"/>
        <v>-0.47278912099226744</v>
      </c>
    </row>
    <row r="36" spans="2:5" x14ac:dyDescent="0.3">
      <c r="B36">
        <f>lns!K67</f>
        <v>-6.1888169757019759E-2</v>
      </c>
      <c r="C36">
        <v>33</v>
      </c>
      <c r="D36">
        <f t="shared" si="0"/>
        <v>0.32828282828282829</v>
      </c>
      <c r="E36">
        <f t="shared" si="1"/>
        <v>-0.4446597559886718</v>
      </c>
    </row>
    <row r="37" spans="2:5" x14ac:dyDescent="0.3">
      <c r="B37">
        <f>lns!K43</f>
        <v>-4.8786964174551986E-2</v>
      </c>
      <c r="C37">
        <v>34</v>
      </c>
      <c r="D37">
        <f t="shared" si="0"/>
        <v>0.3383838383838384</v>
      </c>
      <c r="E37">
        <f t="shared" si="1"/>
        <v>-0.41687795799540722</v>
      </c>
    </row>
    <row r="38" spans="2:5" x14ac:dyDescent="0.3">
      <c r="B38">
        <f>lns!K30</f>
        <v>-4.6563445149369123E-2</v>
      </c>
      <c r="C38">
        <v>35</v>
      </c>
      <c r="D38">
        <f t="shared" si="0"/>
        <v>0.34848484848484851</v>
      </c>
      <c r="E38">
        <f t="shared" si="1"/>
        <v>-0.38941429785214438</v>
      </c>
    </row>
    <row r="39" spans="2:5" x14ac:dyDescent="0.3">
      <c r="B39">
        <f>lns!K91</f>
        <v>-4.4994227860345661E-2</v>
      </c>
      <c r="C39">
        <v>36</v>
      </c>
      <c r="D39">
        <f t="shared" si="0"/>
        <v>0.35858585858585856</v>
      </c>
      <c r="E39">
        <f t="shared" si="1"/>
        <v>-0.3622413028447366</v>
      </c>
    </row>
    <row r="40" spans="2:5" x14ac:dyDescent="0.3">
      <c r="B40">
        <f>lns!K94</f>
        <v>-4.1397159896152294E-2</v>
      </c>
      <c r="C40">
        <v>37</v>
      </c>
      <c r="D40">
        <f t="shared" si="0"/>
        <v>0.36868686868686867</v>
      </c>
      <c r="E40">
        <f t="shared" si="1"/>
        <v>-0.33533321951439826</v>
      </c>
    </row>
    <row r="41" spans="2:5" x14ac:dyDescent="0.3">
      <c r="B41">
        <f>lns!K55</f>
        <v>-3.9825616070166596E-2</v>
      </c>
      <c r="C41">
        <v>38</v>
      </c>
      <c r="D41">
        <f t="shared" si="0"/>
        <v>0.37878787878787878</v>
      </c>
      <c r="E41">
        <f t="shared" si="1"/>
        <v>-0.30866580569493407</v>
      </c>
    </row>
    <row r="42" spans="2:5" x14ac:dyDescent="0.3">
      <c r="B42">
        <f>lns!K53</f>
        <v>-1.3098410861334063E-2</v>
      </c>
      <c r="C42">
        <v>39</v>
      </c>
      <c r="D42">
        <f t="shared" si="0"/>
        <v>0.3888888888888889</v>
      </c>
      <c r="E42">
        <f t="shared" si="1"/>
        <v>-0.28221614706250814</v>
      </c>
    </row>
    <row r="43" spans="2:5" x14ac:dyDescent="0.3">
      <c r="B43">
        <f>lns!K81</f>
        <v>-7.8547680793780057E-3</v>
      </c>
      <c r="C43">
        <v>40</v>
      </c>
      <c r="D43">
        <f t="shared" si="0"/>
        <v>0.39898989898989901</v>
      </c>
      <c r="E43">
        <f t="shared" si="1"/>
        <v>-0.25596249429406465</v>
      </c>
    </row>
    <row r="44" spans="2:5" x14ac:dyDescent="0.3">
      <c r="B44">
        <f>lns!K47</f>
        <v>-4.5975525666140911E-3</v>
      </c>
      <c r="C44">
        <v>41</v>
      </c>
      <c r="D44">
        <f t="shared" si="0"/>
        <v>0.40909090909090912</v>
      </c>
      <c r="E44">
        <f t="shared" si="1"/>
        <v>-0.22988411757923208</v>
      </c>
    </row>
    <row r="45" spans="2:5" x14ac:dyDescent="0.3">
      <c r="B45">
        <f>lns!K48</f>
        <v>-3.3275300927085166E-3</v>
      </c>
      <c r="C45">
        <v>42</v>
      </c>
      <c r="D45">
        <f t="shared" si="0"/>
        <v>0.41919191919191917</v>
      </c>
      <c r="E45">
        <f t="shared" si="1"/>
        <v>-0.20396117575131437</v>
      </c>
    </row>
    <row r="46" spans="2:5" x14ac:dyDescent="0.3">
      <c r="B46">
        <f>lns!K69</f>
        <v>2.2674274424015982E-3</v>
      </c>
      <c r="C46">
        <v>43</v>
      </c>
      <c r="D46">
        <f t="shared" si="0"/>
        <v>0.42929292929292928</v>
      </c>
      <c r="E46">
        <f t="shared" si="1"/>
        <v>-0.17817459772241043</v>
      </c>
    </row>
    <row r="47" spans="2:5" x14ac:dyDescent="0.3">
      <c r="B47">
        <f>lns!K28</f>
        <v>3.4923029789229627E-2</v>
      </c>
      <c r="C47">
        <v>44</v>
      </c>
      <c r="D47">
        <f t="shared" si="0"/>
        <v>0.43939393939393939</v>
      </c>
      <c r="E47">
        <f t="shared" si="1"/>
        <v>-0.15250597424624437</v>
      </c>
    </row>
    <row r="48" spans="2:5" x14ac:dyDescent="0.3">
      <c r="B48">
        <f>lns!K90</f>
        <v>3.9076471981792843E-2</v>
      </c>
      <c r="C48">
        <v>45</v>
      </c>
      <c r="D48">
        <f t="shared" si="0"/>
        <v>0.4494949494949495</v>
      </c>
      <c r="E48">
        <f t="shared" si="1"/>
        <v>-0.12693745830564304</v>
      </c>
    </row>
    <row r="49" spans="2:5" x14ac:dyDescent="0.3">
      <c r="B49">
        <f>lns!K84</f>
        <v>4.1918992597781618E-2</v>
      </c>
      <c r="C49">
        <v>46</v>
      </c>
      <c r="D49">
        <f t="shared" si="0"/>
        <v>0.45959595959595961</v>
      </c>
      <c r="E49">
        <f t="shared" si="1"/>
        <v>-0.1014516726419474</v>
      </c>
    </row>
    <row r="50" spans="2:5" x14ac:dyDescent="0.3">
      <c r="B50">
        <f>lns!K34</f>
        <v>5.7598872379398404E-2</v>
      </c>
      <c r="C50">
        <v>47</v>
      </c>
      <c r="D50">
        <f t="shared" si="0"/>
        <v>0.46969696969696972</v>
      </c>
      <c r="E50">
        <f t="shared" si="1"/>
        <v>-7.60316231203884E-2</v>
      </c>
    </row>
    <row r="51" spans="2:5" x14ac:dyDescent="0.3">
      <c r="B51">
        <f>lns!K26</f>
        <v>6.1414897701466145E-2</v>
      </c>
      <c r="C51">
        <v>48</v>
      </c>
      <c r="D51">
        <f t="shared" si="0"/>
        <v>0.47979797979797978</v>
      </c>
      <c r="E51">
        <f t="shared" si="1"/>
        <v>-5.0660616765876576E-2</v>
      </c>
    </row>
    <row r="52" spans="2:5" x14ac:dyDescent="0.3">
      <c r="B52">
        <f>lns!K39</f>
        <v>6.7518451730822798E-2</v>
      </c>
      <c r="C52">
        <v>49</v>
      </c>
      <c r="D52">
        <f t="shared" si="0"/>
        <v>0.48989898989898989</v>
      </c>
      <c r="E52">
        <f t="shared" si="1"/>
        <v>-2.5322183413346296E-2</v>
      </c>
    </row>
    <row r="53" spans="2:5" x14ac:dyDescent="0.3">
      <c r="B53">
        <f>lns!K68</f>
        <v>7.3975106184572828E-2</v>
      </c>
      <c r="C53">
        <v>50</v>
      </c>
      <c r="D53">
        <f t="shared" si="0"/>
        <v>0.5</v>
      </c>
      <c r="E53">
        <f t="shared" si="1"/>
        <v>0</v>
      </c>
    </row>
    <row r="54" spans="2:5" x14ac:dyDescent="0.3">
      <c r="B54">
        <f>lns!K32</f>
        <v>7.6988818528110819E-2</v>
      </c>
      <c r="C54">
        <v>51</v>
      </c>
      <c r="D54">
        <f t="shared" si="0"/>
        <v>0.51010101010101006</v>
      </c>
      <c r="E54">
        <f t="shared" si="1"/>
        <v>2.5322183413346164E-2</v>
      </c>
    </row>
    <row r="55" spans="2:5" x14ac:dyDescent="0.3">
      <c r="B55">
        <f>lns!K57</f>
        <v>9.0589966194361715E-2</v>
      </c>
      <c r="C55">
        <v>52</v>
      </c>
      <c r="D55">
        <f t="shared" si="0"/>
        <v>0.52020202020202022</v>
      </c>
      <c r="E55">
        <f t="shared" si="1"/>
        <v>5.0660616765876576E-2</v>
      </c>
    </row>
    <row r="56" spans="2:5" x14ac:dyDescent="0.3">
      <c r="B56">
        <f>lns!K75</f>
        <v>0.11056594387759361</v>
      </c>
      <c r="C56">
        <v>53</v>
      </c>
      <c r="D56">
        <f t="shared" si="0"/>
        <v>0.53030303030303028</v>
      </c>
      <c r="E56">
        <f t="shared" si="1"/>
        <v>7.60316231203884E-2</v>
      </c>
    </row>
    <row r="57" spans="2:5" x14ac:dyDescent="0.3">
      <c r="B57">
        <f>lns!K52</f>
        <v>0.14737635725897791</v>
      </c>
      <c r="C57">
        <v>54</v>
      </c>
      <c r="D57">
        <f t="shared" si="0"/>
        <v>0.54040404040404044</v>
      </c>
      <c r="E57">
        <f t="shared" si="1"/>
        <v>0.10145167264194754</v>
      </c>
    </row>
    <row r="58" spans="2:5" x14ac:dyDescent="0.3">
      <c r="B58">
        <f>lns!K50</f>
        <v>0.15302147108240252</v>
      </c>
      <c r="C58">
        <v>55</v>
      </c>
      <c r="D58">
        <f t="shared" si="0"/>
        <v>0.5505050505050505</v>
      </c>
      <c r="E58">
        <f t="shared" si="1"/>
        <v>0.12693745830564304</v>
      </c>
    </row>
    <row r="59" spans="2:5" x14ac:dyDescent="0.3">
      <c r="B59">
        <f>lns!K77</f>
        <v>0.16868736551815103</v>
      </c>
      <c r="C59">
        <v>56</v>
      </c>
      <c r="D59">
        <f t="shared" si="0"/>
        <v>0.56060606060606055</v>
      </c>
      <c r="E59">
        <f t="shared" si="1"/>
        <v>0.15250597424624424</v>
      </c>
    </row>
    <row r="60" spans="2:5" x14ac:dyDescent="0.3">
      <c r="B60">
        <f>lns!K4</f>
        <v>0.19601898391755218</v>
      </c>
      <c r="C60">
        <v>57</v>
      </c>
      <c r="D60">
        <f t="shared" si="0"/>
        <v>0.57070707070707072</v>
      </c>
      <c r="E60">
        <f t="shared" si="1"/>
        <v>0.17817459772241043</v>
      </c>
    </row>
    <row r="61" spans="2:5" x14ac:dyDescent="0.3">
      <c r="B61">
        <f>lns!K96</f>
        <v>0.20030881180834159</v>
      </c>
      <c r="C61">
        <v>58</v>
      </c>
      <c r="D61">
        <f t="shared" si="0"/>
        <v>0.58080808080808077</v>
      </c>
      <c r="E61">
        <f t="shared" si="1"/>
        <v>0.2039611757513142</v>
      </c>
    </row>
    <row r="62" spans="2:5" x14ac:dyDescent="0.3">
      <c r="B62">
        <f>lns!K64</f>
        <v>0.20887422702193015</v>
      </c>
      <c r="C62">
        <v>59</v>
      </c>
      <c r="D62">
        <f t="shared" si="0"/>
        <v>0.59090909090909094</v>
      </c>
      <c r="E62">
        <f t="shared" si="1"/>
        <v>0.22988411757923222</v>
      </c>
    </row>
    <row r="63" spans="2:5" x14ac:dyDescent="0.3">
      <c r="B63">
        <f>lns!K27</f>
        <v>0.21661025574068135</v>
      </c>
      <c r="C63">
        <v>60</v>
      </c>
      <c r="D63">
        <f t="shared" si="0"/>
        <v>0.60101010101010099</v>
      </c>
      <c r="E63">
        <f t="shared" si="1"/>
        <v>0.25596249429406465</v>
      </c>
    </row>
    <row r="64" spans="2:5" x14ac:dyDescent="0.3">
      <c r="B64">
        <f>lns!K101</f>
        <v>0.21845256582608627</v>
      </c>
      <c r="C64">
        <v>61</v>
      </c>
      <c r="D64">
        <f t="shared" si="0"/>
        <v>0.61111111111111116</v>
      </c>
      <c r="E64">
        <f t="shared" si="1"/>
        <v>0.28221614706250825</v>
      </c>
    </row>
    <row r="65" spans="2:5" x14ac:dyDescent="0.3">
      <c r="B65">
        <f>lns!K95</f>
        <v>0.22061235052667785</v>
      </c>
      <c r="C65">
        <v>62</v>
      </c>
      <c r="D65">
        <f t="shared" si="0"/>
        <v>0.62121212121212122</v>
      </c>
      <c r="E65">
        <f t="shared" si="1"/>
        <v>0.30866580569493407</v>
      </c>
    </row>
    <row r="66" spans="2:5" x14ac:dyDescent="0.3">
      <c r="B66">
        <f>lns!K24</f>
        <v>0.23280076990724541</v>
      </c>
      <c r="C66">
        <v>63</v>
      </c>
      <c r="D66">
        <f t="shared" si="0"/>
        <v>0.63131313131313127</v>
      </c>
      <c r="E66">
        <f t="shared" si="1"/>
        <v>0.3353332195143981</v>
      </c>
    </row>
    <row r="67" spans="2:5" x14ac:dyDescent="0.3">
      <c r="B67">
        <f>lns!K92</f>
        <v>0.24220865180238249</v>
      </c>
      <c r="C67">
        <v>64</v>
      </c>
      <c r="D67">
        <f t="shared" si="0"/>
        <v>0.64141414141414144</v>
      </c>
      <c r="E67">
        <f t="shared" si="1"/>
        <v>0.3622413028447366</v>
      </c>
    </row>
    <row r="68" spans="2:5" x14ac:dyDescent="0.3">
      <c r="B68">
        <f>lns!K80</f>
        <v>0.24261671257771025</v>
      </c>
      <c r="C68">
        <v>65</v>
      </c>
      <c r="D68">
        <f t="shared" si="0"/>
        <v>0.65151515151515149</v>
      </c>
      <c r="E68">
        <f t="shared" si="1"/>
        <v>0.38941429785214438</v>
      </c>
    </row>
    <row r="69" spans="2:5" x14ac:dyDescent="0.3">
      <c r="B69">
        <f>lns!K51</f>
        <v>0.2497932719089673</v>
      </c>
      <c r="C69">
        <v>66</v>
      </c>
      <c r="D69">
        <f t="shared" si="0"/>
        <v>0.66161616161616166</v>
      </c>
      <c r="E69">
        <f t="shared" si="1"/>
        <v>0.41687795799540739</v>
      </c>
    </row>
    <row r="70" spans="2:5" x14ac:dyDescent="0.3">
      <c r="B70">
        <f>lns!K78</f>
        <v>0.27491593092210703</v>
      </c>
      <c r="C70">
        <v>67</v>
      </c>
      <c r="D70">
        <f t="shared" ref="D70:D102" si="2">(C70-0.5)/99</f>
        <v>0.67171717171717171</v>
      </c>
      <c r="E70">
        <f t="shared" ref="E70:E102" si="3">NORMSINV(D70)</f>
        <v>0.4446597559886718</v>
      </c>
    </row>
    <row r="71" spans="2:5" x14ac:dyDescent="0.3">
      <c r="B71">
        <f>lns!K5</f>
        <v>0.27688903662249492</v>
      </c>
      <c r="C71">
        <v>68</v>
      </c>
      <c r="D71">
        <f t="shared" si="2"/>
        <v>0.68181818181818177</v>
      </c>
      <c r="E71">
        <f t="shared" si="3"/>
        <v>0.47278912099226728</v>
      </c>
    </row>
    <row r="72" spans="2:5" x14ac:dyDescent="0.3">
      <c r="B72">
        <f>lns!K21</f>
        <v>0.28177465798731438</v>
      </c>
      <c r="C72">
        <v>69</v>
      </c>
      <c r="D72">
        <f t="shared" si="2"/>
        <v>0.69191919191919193</v>
      </c>
      <c r="E72">
        <f t="shared" si="3"/>
        <v>0.50129771076772867</v>
      </c>
    </row>
    <row r="73" spans="2:5" x14ac:dyDescent="0.3">
      <c r="B73">
        <f>lns!K25</f>
        <v>0.28330500706226974</v>
      </c>
      <c r="C73">
        <v>70</v>
      </c>
      <c r="D73">
        <f t="shared" si="2"/>
        <v>0.70202020202020199</v>
      </c>
      <c r="E73">
        <f t="shared" si="3"/>
        <v>0.53021972582422772</v>
      </c>
    </row>
    <row r="74" spans="2:5" x14ac:dyDescent="0.3">
      <c r="B74">
        <f>lns!K100</f>
        <v>0.32987912115156931</v>
      </c>
      <c r="C74">
        <v>71</v>
      </c>
      <c r="D74">
        <f t="shared" si="2"/>
        <v>0.71212121212121215</v>
      </c>
      <c r="E74">
        <f t="shared" si="3"/>
        <v>0.55959227422743252</v>
      </c>
    </row>
    <row r="75" spans="2:5" x14ac:dyDescent="0.3">
      <c r="B75">
        <f>lns!K89</f>
        <v>0.35852024033161811</v>
      </c>
      <c r="C75">
        <v>72</v>
      </c>
      <c r="D75">
        <f t="shared" si="2"/>
        <v>0.72222222222222221</v>
      </c>
      <c r="E75">
        <f t="shared" si="3"/>
        <v>0.58945579784977842</v>
      </c>
    </row>
    <row r="76" spans="2:5" x14ac:dyDescent="0.3">
      <c r="B76">
        <f>lns!K19</f>
        <v>0.36260631850615344</v>
      </c>
      <c r="C76">
        <v>73</v>
      </c>
      <c r="D76">
        <f t="shared" si="2"/>
        <v>0.73232323232323238</v>
      </c>
      <c r="E76">
        <f t="shared" si="3"/>
        <v>0.61985457356549423</v>
      </c>
    </row>
    <row r="77" spans="2:5" x14ac:dyDescent="0.3">
      <c r="B77">
        <f>lns!K22</f>
        <v>0.39300783750581203</v>
      </c>
      <c r="C77">
        <v>74</v>
      </c>
      <c r="D77">
        <f t="shared" si="2"/>
        <v>0.74242424242424243</v>
      </c>
      <c r="E77">
        <f t="shared" si="3"/>
        <v>0.65083730644447746</v>
      </c>
    </row>
    <row r="78" spans="2:5" x14ac:dyDescent="0.3">
      <c r="B78">
        <f>lns!K98</f>
        <v>0.42460738670317039</v>
      </c>
      <c r="C78">
        <v>75</v>
      </c>
      <c r="D78">
        <f t="shared" si="2"/>
        <v>0.75252525252525249</v>
      </c>
      <c r="E78">
        <f t="shared" si="3"/>
        <v>0.68245783666933024</v>
      </c>
    </row>
    <row r="79" spans="2:5" x14ac:dyDescent="0.3">
      <c r="B79">
        <f>lns!K102</f>
        <v>0.43553510652751681</v>
      </c>
      <c r="C79">
        <v>76</v>
      </c>
      <c r="D79">
        <f t="shared" si="2"/>
        <v>0.76262626262626265</v>
      </c>
      <c r="E79">
        <f t="shared" si="3"/>
        <v>0.71477598810315091</v>
      </c>
    </row>
    <row r="80" spans="2:5" x14ac:dyDescent="0.3">
      <c r="B80">
        <f>lns!K79</f>
        <v>0.45476942579230772</v>
      </c>
      <c r="C80">
        <v>77</v>
      </c>
      <c r="D80">
        <f t="shared" si="2"/>
        <v>0.77272727272727271</v>
      </c>
      <c r="E80">
        <f t="shared" si="3"/>
        <v>0.74785859476330196</v>
      </c>
    </row>
    <row r="81" spans="2:5" x14ac:dyDescent="0.3">
      <c r="B81">
        <f>lns!K93</f>
        <v>0.47888903683370748</v>
      </c>
      <c r="C81">
        <v>78</v>
      </c>
      <c r="D81">
        <f t="shared" si="2"/>
        <v>0.78282828282828287</v>
      </c>
      <c r="E81">
        <f t="shared" si="3"/>
        <v>0.78178075276507275</v>
      </c>
    </row>
    <row r="82" spans="2:5" x14ac:dyDescent="0.3">
      <c r="B82">
        <f>lns!K99</f>
        <v>0.49707146753332759</v>
      </c>
      <c r="C82">
        <v>79</v>
      </c>
      <c r="D82">
        <f t="shared" si="2"/>
        <v>0.79292929292929293</v>
      </c>
      <c r="E82">
        <f t="shared" si="3"/>
        <v>0.81662736084860543</v>
      </c>
    </row>
    <row r="83" spans="2:5" x14ac:dyDescent="0.3">
      <c r="B83">
        <f>lns!K20</f>
        <v>0.57254893591874234</v>
      </c>
      <c r="C83">
        <v>80</v>
      </c>
      <c r="D83">
        <f t="shared" si="2"/>
        <v>0.80303030303030298</v>
      </c>
      <c r="E83">
        <f t="shared" si="3"/>
        <v>0.85249503427469353</v>
      </c>
    </row>
    <row r="84" spans="2:5" x14ac:dyDescent="0.3">
      <c r="B84">
        <f>lns!K23</f>
        <v>0.58761998434502005</v>
      </c>
      <c r="C84">
        <v>81</v>
      </c>
      <c r="D84">
        <f t="shared" si="2"/>
        <v>0.81313131313131315</v>
      </c>
      <c r="E84">
        <f t="shared" si="3"/>
        <v>0.88949450753063364</v>
      </c>
    </row>
    <row r="85" spans="2:5" x14ac:dyDescent="0.3">
      <c r="B85">
        <f>lns!K87</f>
        <v>0.61983427687089465</v>
      </c>
      <c r="C85">
        <v>82</v>
      </c>
      <c r="D85">
        <f t="shared" si="2"/>
        <v>0.8232323232323232</v>
      </c>
      <c r="E85">
        <f t="shared" si="3"/>
        <v>0.92775368535742475</v>
      </c>
    </row>
    <row r="86" spans="2:5" x14ac:dyDescent="0.3">
      <c r="B86">
        <f>lns!K18</f>
        <v>0.63835302847280673</v>
      </c>
      <c r="C86">
        <v>83</v>
      </c>
      <c r="D86">
        <f t="shared" si="2"/>
        <v>0.83333333333333337</v>
      </c>
      <c r="E86">
        <f t="shared" si="3"/>
        <v>0.96742156610170071</v>
      </c>
    </row>
    <row r="87" spans="2:5" x14ac:dyDescent="0.3">
      <c r="B87">
        <f>lns!K7</f>
        <v>0.6782264175493723</v>
      </c>
      <c r="C87">
        <v>84</v>
      </c>
      <c r="D87">
        <f t="shared" si="2"/>
        <v>0.84343434343434343</v>
      </c>
      <c r="E87">
        <f t="shared" si="3"/>
        <v>1.0086733576467986</v>
      </c>
    </row>
    <row r="88" spans="2:5" x14ac:dyDescent="0.3">
      <c r="B88">
        <f>lns!K13</f>
        <v>0.70783380221156944</v>
      </c>
      <c r="C88">
        <v>85</v>
      </c>
      <c r="D88">
        <f t="shared" si="2"/>
        <v>0.85353535353535348</v>
      </c>
      <c r="E88">
        <f t="shared" si="3"/>
        <v>1.0517172529984837</v>
      </c>
    </row>
    <row r="89" spans="2:5" x14ac:dyDescent="0.3">
      <c r="B89">
        <f>lns!K6</f>
        <v>0.73429392234409929</v>
      </c>
      <c r="C89">
        <v>86</v>
      </c>
      <c r="D89">
        <f t="shared" si="2"/>
        <v>0.86363636363636365</v>
      </c>
      <c r="E89">
        <f t="shared" si="3"/>
        <v>1.096803562093513</v>
      </c>
    </row>
    <row r="90" spans="2:5" x14ac:dyDescent="0.3">
      <c r="B90">
        <f>lns!K17</f>
        <v>0.79410953848598531</v>
      </c>
      <c r="C90">
        <v>87</v>
      </c>
      <c r="D90">
        <f t="shared" si="2"/>
        <v>0.8737373737373737</v>
      </c>
      <c r="E90">
        <f t="shared" si="3"/>
        <v>1.1442372651002066</v>
      </c>
    </row>
    <row r="91" spans="2:5" x14ac:dyDescent="0.3">
      <c r="B91">
        <f>lns!K88</f>
        <v>0.81879256016034307</v>
      </c>
      <c r="C91">
        <v>88</v>
      </c>
      <c r="D91">
        <f t="shared" si="2"/>
        <v>0.88383838383838387</v>
      </c>
      <c r="E91">
        <f t="shared" si="3"/>
        <v>1.1943956635681565</v>
      </c>
    </row>
    <row r="92" spans="2:5" x14ac:dyDescent="0.3">
      <c r="B92">
        <f>lns!K12</f>
        <v>0.87344168426926749</v>
      </c>
      <c r="C92">
        <v>89</v>
      </c>
      <c r="D92">
        <f t="shared" si="2"/>
        <v>0.89393939393939392</v>
      </c>
      <c r="E92">
        <f t="shared" si="3"/>
        <v>1.2477538553513243</v>
      </c>
    </row>
    <row r="93" spans="2:5" x14ac:dyDescent="0.3">
      <c r="B93">
        <f>lns!K11</f>
        <v>0.998088206735114</v>
      </c>
      <c r="C93">
        <v>90</v>
      </c>
      <c r="D93">
        <f t="shared" si="2"/>
        <v>0.90404040404040409</v>
      </c>
      <c r="E93">
        <f t="shared" si="3"/>
        <v>1.3049226377527239</v>
      </c>
    </row>
    <row r="94" spans="2:5" x14ac:dyDescent="0.3">
      <c r="B94">
        <f>lns!K8</f>
        <v>1.043691369768353</v>
      </c>
      <c r="C94">
        <v>91</v>
      </c>
      <c r="D94">
        <f t="shared" si="2"/>
        <v>0.91414141414141414</v>
      </c>
      <c r="E94">
        <f t="shared" si="3"/>
        <v>1.3667069718079636</v>
      </c>
    </row>
    <row r="95" spans="2:5" x14ac:dyDescent="0.3">
      <c r="B95">
        <f>lns!K97</f>
        <v>1.0982955718519667</v>
      </c>
      <c r="C95">
        <v>92</v>
      </c>
      <c r="D95">
        <f t="shared" si="2"/>
        <v>0.9242424242424242</v>
      </c>
      <c r="E95">
        <f t="shared" si="3"/>
        <v>1.434200159686378</v>
      </c>
    </row>
    <row r="96" spans="2:5" x14ac:dyDescent="0.3">
      <c r="B96">
        <f>lns!K16</f>
        <v>1.1149284531530457</v>
      </c>
      <c r="C96">
        <v>93</v>
      </c>
      <c r="D96">
        <f t="shared" si="2"/>
        <v>0.93434343434343436</v>
      </c>
      <c r="E96">
        <f t="shared" si="3"/>
        <v>1.5089438550380383</v>
      </c>
    </row>
    <row r="97" spans="2:5" x14ac:dyDescent="0.3">
      <c r="B97">
        <f>lns!K14</f>
        <v>1.1444616249023902</v>
      </c>
      <c r="C97">
        <v>94</v>
      </c>
      <c r="D97">
        <f t="shared" si="2"/>
        <v>0.94444444444444442</v>
      </c>
      <c r="E97">
        <f t="shared" si="3"/>
        <v>1.59321881802305</v>
      </c>
    </row>
    <row r="98" spans="2:5" x14ac:dyDescent="0.3">
      <c r="B98">
        <f>lns!K86</f>
        <v>1.1568403154533102</v>
      </c>
      <c r="C98">
        <v>95</v>
      </c>
      <c r="D98">
        <f t="shared" si="2"/>
        <v>0.95454545454545459</v>
      </c>
      <c r="E98">
        <f t="shared" si="3"/>
        <v>1.6906216295848984</v>
      </c>
    </row>
    <row r="99" spans="2:5" x14ac:dyDescent="0.3">
      <c r="B99">
        <f>lns!K85</f>
        <v>1.1783903459402025</v>
      </c>
      <c r="C99">
        <v>96</v>
      </c>
      <c r="D99">
        <f t="shared" si="2"/>
        <v>0.96464646464646464</v>
      </c>
      <c r="E99">
        <f t="shared" si="3"/>
        <v>1.807354196799112</v>
      </c>
    </row>
    <row r="100" spans="2:5" x14ac:dyDescent="0.3">
      <c r="B100">
        <f>lns!K15</f>
        <v>1.2492453603883937</v>
      </c>
      <c r="C100">
        <v>97</v>
      </c>
      <c r="D100">
        <f t="shared" si="2"/>
        <v>0.9747474747474747</v>
      </c>
      <c r="E100">
        <f t="shared" si="3"/>
        <v>1.9556614355881674</v>
      </c>
    </row>
    <row r="101" spans="2:5" x14ac:dyDescent="0.3">
      <c r="B101">
        <f>lns!K9</f>
        <v>1.3212730567946018</v>
      </c>
      <c r="C101">
        <v>98</v>
      </c>
      <c r="D101">
        <f t="shared" si="2"/>
        <v>0.98484848484848486</v>
      </c>
      <c r="E101">
        <f t="shared" si="3"/>
        <v>2.166106752892329</v>
      </c>
    </row>
    <row r="102" spans="2:5" x14ac:dyDescent="0.3">
      <c r="B102">
        <f>lns!K10</f>
        <v>1.4684709443069561</v>
      </c>
      <c r="C102">
        <v>99</v>
      </c>
      <c r="D102">
        <f t="shared" si="2"/>
        <v>0.99494949494949492</v>
      </c>
      <c r="E102">
        <f t="shared" si="3"/>
        <v>2.5723521109428868</v>
      </c>
    </row>
  </sheetData>
  <sortState xmlns:xlrd2="http://schemas.microsoft.com/office/spreadsheetml/2017/richdata2" ref="B4:B102">
    <sortCondition ref="B4:B102"/>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SDs by Year For Deciles</vt:lpstr>
      <vt:lpstr>Correlation Matrix</vt:lpstr>
      <vt:lpstr>lns</vt:lpstr>
      <vt:lpstr>Lo 10 Test</vt:lpstr>
      <vt:lpstr>Dec 2 Test</vt:lpstr>
      <vt:lpstr>Dec 3 Test</vt:lpstr>
      <vt:lpstr>Dec 4 Test</vt:lpstr>
      <vt:lpstr>Dec 5 Test</vt:lpstr>
      <vt:lpstr>Dec 6 Test</vt:lpstr>
      <vt:lpstr>Dec 7 Test</vt:lpstr>
      <vt:lpstr>Dec 8 Test</vt:lpstr>
      <vt:lpstr>Dec 9 Test</vt:lpstr>
      <vt:lpstr>Hi 10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Ender Dempsey</dc:creator>
  <cp:lastModifiedBy>Ender Dempsey</cp:lastModifiedBy>
  <dcterms:created xsi:type="dcterms:W3CDTF">2026-09-26T20:02:48Z</dcterms:created>
  <dcterms:modified xsi:type="dcterms:W3CDTF">2026-10-28T23:37:34Z</dcterms:modified>
</cp:coreProperties>
</file>