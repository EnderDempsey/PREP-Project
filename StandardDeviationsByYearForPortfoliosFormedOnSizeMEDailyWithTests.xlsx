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edemp\Downloads\"/>
    </mc:Choice>
  </mc:AlternateContent>
  <xr:revisionPtr revIDLastSave="0" documentId="8_{A6E69E05-9119-4159-9BF1-974E359AA16B}" xr6:coauthVersionLast="47" xr6:coauthVersionMax="47" xr10:uidLastSave="{00000000-0000-0000-0000-000000000000}"/>
  <bookViews>
    <workbookView xWindow="-108" yWindow="-108" windowWidth="23256" windowHeight="13176" xr2:uid="{D88579F5-EDCC-42F4-A75E-B6027DA42A9B}"/>
  </bookViews>
  <sheets>
    <sheet name="README" sheetId="15" r:id="rId1"/>
    <sheet name="SDs by Year for Deciles" sheetId="1" r:id="rId2"/>
    <sheet name="LNs" sheetId="2" r:id="rId3"/>
    <sheet name="Correlation Matrix" sheetId="17" r:id="rId4"/>
    <sheet name="Lo 10 Test" sheetId="4" r:id="rId5"/>
    <sheet name="Dec 2 Test" sheetId="5" r:id="rId6"/>
    <sheet name="Dec 3 Test" sheetId="6" r:id="rId7"/>
    <sheet name="Dec 4 Test" sheetId="7" r:id="rId8"/>
    <sheet name="Dec 5 Test" sheetId="8" r:id="rId9"/>
    <sheet name="Dec 6 Test" sheetId="9" r:id="rId10"/>
    <sheet name="Dec 7 Test" sheetId="11" r:id="rId11"/>
    <sheet name="Dec 8 Test" sheetId="12" r:id="rId12"/>
    <sheet name="Dec 9 Test" sheetId="13" r:id="rId13"/>
    <sheet name="Hi 10 Test" sheetId="14"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5" l="1"/>
  <c r="E31" i="5" s="1"/>
  <c r="D32" i="5"/>
  <c r="E32" i="5" s="1"/>
  <c r="D33" i="5"/>
  <c r="E33" i="5" s="1"/>
  <c r="D34" i="5"/>
  <c r="E34" i="5" s="1"/>
  <c r="D35" i="5"/>
  <c r="E35" i="5" s="1"/>
  <c r="D36" i="5"/>
  <c r="E36" i="5" s="1"/>
  <c r="D37" i="5"/>
  <c r="E37" i="5" s="1"/>
  <c r="D38" i="5"/>
  <c r="E38" i="5" s="1"/>
  <c r="C98" i="5"/>
  <c r="D98" i="5" s="1"/>
  <c r="E98" i="5" s="1"/>
  <c r="C99" i="5"/>
  <c r="D99" i="5" s="1"/>
  <c r="E99" i="5" s="1"/>
  <c r="C100" i="5"/>
  <c r="D100" i="5" s="1"/>
  <c r="E100" i="5" s="1"/>
  <c r="C101" i="5"/>
  <c r="D101" i="5" s="1"/>
  <c r="E101" i="5" s="1"/>
  <c r="C6" i="5"/>
  <c r="D6" i="5" s="1"/>
  <c r="E6" i="5" s="1"/>
  <c r="C7" i="5"/>
  <c r="D7" i="5" s="1"/>
  <c r="E7" i="5" s="1"/>
  <c r="C8" i="5"/>
  <c r="D8" i="5" s="1"/>
  <c r="E8" i="5" s="1"/>
  <c r="C9" i="5"/>
  <c r="D9" i="5" s="1"/>
  <c r="E9" i="5" s="1"/>
  <c r="C10" i="5"/>
  <c r="D10" i="5" s="1"/>
  <c r="E10" i="5" s="1"/>
  <c r="C11" i="5"/>
  <c r="D11" i="5" s="1"/>
  <c r="E11" i="5" s="1"/>
  <c r="C12" i="5"/>
  <c r="D12" i="5" s="1"/>
  <c r="E12" i="5" s="1"/>
  <c r="C13" i="5"/>
  <c r="D13" i="5" s="1"/>
  <c r="E13" i="5" s="1"/>
  <c r="C14" i="5"/>
  <c r="D14" i="5" s="1"/>
  <c r="E14" i="5" s="1"/>
  <c r="C15" i="5"/>
  <c r="D15" i="5" s="1"/>
  <c r="E15" i="5" s="1"/>
  <c r="C16" i="5"/>
  <c r="D16" i="5" s="1"/>
  <c r="E16" i="5" s="1"/>
  <c r="C17" i="5"/>
  <c r="D17" i="5" s="1"/>
  <c r="E17" i="5" s="1"/>
  <c r="C18" i="5"/>
  <c r="D18" i="5" s="1"/>
  <c r="E18" i="5" s="1"/>
  <c r="C19" i="5"/>
  <c r="D19" i="5" s="1"/>
  <c r="E19" i="5" s="1"/>
  <c r="C20" i="5"/>
  <c r="D20" i="5" s="1"/>
  <c r="E20" i="5" s="1"/>
  <c r="C21" i="5"/>
  <c r="D21" i="5" s="1"/>
  <c r="E21" i="5" s="1"/>
  <c r="C22" i="5"/>
  <c r="D22" i="5" s="1"/>
  <c r="E22" i="5" s="1"/>
  <c r="C23" i="5"/>
  <c r="D23" i="5" s="1"/>
  <c r="E23" i="5" s="1"/>
  <c r="C24" i="5"/>
  <c r="D24" i="5" s="1"/>
  <c r="E24" i="5" s="1"/>
  <c r="C25" i="5"/>
  <c r="D25" i="5" s="1"/>
  <c r="E25" i="5" s="1"/>
  <c r="C26" i="5"/>
  <c r="D26" i="5" s="1"/>
  <c r="E26" i="5" s="1"/>
  <c r="C27" i="5"/>
  <c r="D27" i="5" s="1"/>
  <c r="E27" i="5" s="1"/>
  <c r="C28" i="5"/>
  <c r="D28" i="5" s="1"/>
  <c r="E28" i="5" s="1"/>
  <c r="C29" i="5"/>
  <c r="D29" i="5" s="1"/>
  <c r="E29" i="5" s="1"/>
  <c r="C30" i="5"/>
  <c r="D30" i="5" s="1"/>
  <c r="E30" i="5" s="1"/>
  <c r="C31" i="5"/>
  <c r="C32" i="5"/>
  <c r="C33" i="5"/>
  <c r="C34" i="5"/>
  <c r="C35" i="5"/>
  <c r="C36" i="5"/>
  <c r="C37" i="5"/>
  <c r="C38" i="5"/>
  <c r="C39" i="5"/>
  <c r="D39" i="5" s="1"/>
  <c r="E39" i="5" s="1"/>
  <c r="C40" i="5"/>
  <c r="D40" i="5" s="1"/>
  <c r="E40" i="5" s="1"/>
  <c r="C41" i="5"/>
  <c r="D41" i="5" s="1"/>
  <c r="E41" i="5" s="1"/>
  <c r="C42" i="5"/>
  <c r="D42" i="5" s="1"/>
  <c r="E42" i="5" s="1"/>
  <c r="C43" i="5"/>
  <c r="D43" i="5" s="1"/>
  <c r="E43" i="5" s="1"/>
  <c r="C44" i="5"/>
  <c r="D44" i="5" s="1"/>
  <c r="E44" i="5" s="1"/>
  <c r="C45" i="5"/>
  <c r="D45" i="5" s="1"/>
  <c r="E45" i="5" s="1"/>
  <c r="C46" i="5"/>
  <c r="D46" i="5" s="1"/>
  <c r="E46" i="5" s="1"/>
  <c r="C47" i="5"/>
  <c r="D47" i="5" s="1"/>
  <c r="E47" i="5" s="1"/>
  <c r="C48" i="5"/>
  <c r="D48" i="5" s="1"/>
  <c r="E48" i="5" s="1"/>
  <c r="C49" i="5"/>
  <c r="D49" i="5" s="1"/>
  <c r="E49" i="5" s="1"/>
  <c r="C50" i="5"/>
  <c r="D50" i="5" s="1"/>
  <c r="E50" i="5" s="1"/>
  <c r="C51" i="5"/>
  <c r="D51" i="5" s="1"/>
  <c r="E51" i="5" s="1"/>
  <c r="C52" i="5"/>
  <c r="D52" i="5" s="1"/>
  <c r="E52" i="5" s="1"/>
  <c r="C53" i="5"/>
  <c r="D53" i="5" s="1"/>
  <c r="E53" i="5" s="1"/>
  <c r="C54" i="5"/>
  <c r="D54" i="5" s="1"/>
  <c r="E54" i="5" s="1"/>
  <c r="C55" i="5"/>
  <c r="D55" i="5" s="1"/>
  <c r="E55" i="5" s="1"/>
  <c r="C56" i="5"/>
  <c r="D56" i="5" s="1"/>
  <c r="E56" i="5" s="1"/>
  <c r="C57" i="5"/>
  <c r="D57" i="5" s="1"/>
  <c r="E57" i="5" s="1"/>
  <c r="C58" i="5"/>
  <c r="D58" i="5" s="1"/>
  <c r="E58" i="5" s="1"/>
  <c r="C59" i="5"/>
  <c r="D59" i="5" s="1"/>
  <c r="E59" i="5" s="1"/>
  <c r="C60" i="5"/>
  <c r="D60" i="5" s="1"/>
  <c r="E60" i="5" s="1"/>
  <c r="C61" i="5"/>
  <c r="D61" i="5" s="1"/>
  <c r="E61" i="5" s="1"/>
  <c r="C62" i="5"/>
  <c r="D62" i="5" s="1"/>
  <c r="E62" i="5" s="1"/>
  <c r="C63" i="5"/>
  <c r="D63" i="5" s="1"/>
  <c r="E63" i="5" s="1"/>
  <c r="C64" i="5"/>
  <c r="D64" i="5" s="1"/>
  <c r="E64" i="5" s="1"/>
  <c r="C65" i="5"/>
  <c r="D65" i="5" s="1"/>
  <c r="E65" i="5" s="1"/>
  <c r="C66" i="5"/>
  <c r="D66" i="5" s="1"/>
  <c r="E66" i="5" s="1"/>
  <c r="C67" i="5"/>
  <c r="D67" i="5" s="1"/>
  <c r="E67" i="5" s="1"/>
  <c r="C68" i="5"/>
  <c r="D68" i="5" s="1"/>
  <c r="E68" i="5" s="1"/>
  <c r="C69" i="5"/>
  <c r="D69" i="5" s="1"/>
  <c r="E69" i="5" s="1"/>
  <c r="C70" i="5"/>
  <c r="D70" i="5" s="1"/>
  <c r="E70" i="5" s="1"/>
  <c r="C71" i="5"/>
  <c r="D71" i="5" s="1"/>
  <c r="E71" i="5" s="1"/>
  <c r="C72" i="5"/>
  <c r="D72" i="5" s="1"/>
  <c r="E72" i="5" s="1"/>
  <c r="C73" i="5"/>
  <c r="D73" i="5" s="1"/>
  <c r="E73" i="5" s="1"/>
  <c r="C74" i="5"/>
  <c r="D74" i="5" s="1"/>
  <c r="E74" i="5" s="1"/>
  <c r="C75" i="5"/>
  <c r="D75" i="5" s="1"/>
  <c r="E75" i="5" s="1"/>
  <c r="C76" i="5"/>
  <c r="D76" i="5" s="1"/>
  <c r="E76" i="5" s="1"/>
  <c r="C77" i="5"/>
  <c r="D77" i="5" s="1"/>
  <c r="E77" i="5" s="1"/>
  <c r="C78" i="5"/>
  <c r="D78" i="5" s="1"/>
  <c r="E78" i="5" s="1"/>
  <c r="C79" i="5"/>
  <c r="D79" i="5" s="1"/>
  <c r="E79" i="5" s="1"/>
  <c r="C80" i="5"/>
  <c r="D80" i="5" s="1"/>
  <c r="E80" i="5" s="1"/>
  <c r="C81" i="5"/>
  <c r="D81" i="5" s="1"/>
  <c r="E81" i="5" s="1"/>
  <c r="C82" i="5"/>
  <c r="D82" i="5" s="1"/>
  <c r="E82" i="5" s="1"/>
  <c r="C83" i="5"/>
  <c r="D83" i="5" s="1"/>
  <c r="E83" i="5" s="1"/>
  <c r="C84" i="5"/>
  <c r="D84" i="5" s="1"/>
  <c r="E84" i="5" s="1"/>
  <c r="C85" i="5"/>
  <c r="D85" i="5" s="1"/>
  <c r="E85" i="5" s="1"/>
  <c r="C86" i="5"/>
  <c r="D86" i="5" s="1"/>
  <c r="E86" i="5" s="1"/>
  <c r="C87" i="5"/>
  <c r="D87" i="5" s="1"/>
  <c r="E87" i="5" s="1"/>
  <c r="C88" i="5"/>
  <c r="D88" i="5" s="1"/>
  <c r="E88" i="5" s="1"/>
  <c r="C89" i="5"/>
  <c r="D89" i="5" s="1"/>
  <c r="E89" i="5" s="1"/>
  <c r="C90" i="5"/>
  <c r="D90" i="5" s="1"/>
  <c r="E90" i="5" s="1"/>
  <c r="C91" i="5"/>
  <c r="D91" i="5" s="1"/>
  <c r="E91" i="5" s="1"/>
  <c r="C92" i="5"/>
  <c r="D92" i="5" s="1"/>
  <c r="E92" i="5" s="1"/>
  <c r="C93" i="5"/>
  <c r="D93" i="5" s="1"/>
  <c r="E93" i="5" s="1"/>
  <c r="C94" i="5"/>
  <c r="D94" i="5" s="1"/>
  <c r="E94" i="5" s="1"/>
  <c r="C95" i="5"/>
  <c r="D95" i="5" s="1"/>
  <c r="E95" i="5" s="1"/>
  <c r="C96" i="5"/>
  <c r="D96" i="5" s="1"/>
  <c r="E96" i="5" s="1"/>
  <c r="C97" i="5"/>
  <c r="D97" i="5" s="1"/>
  <c r="E97" i="5" s="1"/>
  <c r="C4" i="5"/>
  <c r="D4" i="5" s="1"/>
  <c r="E4" i="5" s="1"/>
  <c r="C5" i="5"/>
  <c r="D5" i="5" s="1"/>
  <c r="E5" i="5" s="1"/>
  <c r="C3" i="5"/>
  <c r="D3" i="5" s="1"/>
  <c r="E3" i="5" s="1"/>
  <c r="D4" i="4"/>
  <c r="E4" i="4" s="1"/>
  <c r="D5" i="4"/>
  <c r="E5" i="4" s="1"/>
  <c r="D6" i="4"/>
  <c r="E6" i="4" s="1"/>
  <c r="D7" i="4"/>
  <c r="E7" i="4" s="1"/>
  <c r="D8" i="4"/>
  <c r="E8" i="4" s="1"/>
  <c r="D9" i="4"/>
  <c r="E9" i="4" s="1"/>
  <c r="D10" i="4"/>
  <c r="E10" i="4" s="1"/>
  <c r="D11" i="4"/>
  <c r="E11" i="4" s="1"/>
  <c r="D12" i="4"/>
  <c r="E12" i="4" s="1"/>
  <c r="D13" i="4"/>
  <c r="E13" i="4" s="1"/>
  <c r="D14" i="4"/>
  <c r="E14" i="4" s="1"/>
  <c r="D15" i="4"/>
  <c r="E15" i="4" s="1"/>
  <c r="D16" i="4"/>
  <c r="E16" i="4" s="1"/>
  <c r="D17" i="4"/>
  <c r="E17" i="4" s="1"/>
  <c r="D18" i="4"/>
  <c r="E18" i="4" s="1"/>
  <c r="D19" i="4"/>
  <c r="E19" i="4" s="1"/>
  <c r="D20" i="4"/>
  <c r="E20" i="4" s="1"/>
  <c r="D21" i="4"/>
  <c r="E21" i="4" s="1"/>
  <c r="D22" i="4"/>
  <c r="E22" i="4" s="1"/>
  <c r="D23" i="4"/>
  <c r="E23" i="4" s="1"/>
  <c r="D24" i="4"/>
  <c r="E24" i="4" s="1"/>
  <c r="D25" i="4"/>
  <c r="E25" i="4" s="1"/>
  <c r="D26" i="4"/>
  <c r="E26" i="4" s="1"/>
  <c r="D27" i="4"/>
  <c r="E27" i="4" s="1"/>
  <c r="D28" i="4"/>
  <c r="E28" i="4" s="1"/>
  <c r="D29" i="4"/>
  <c r="E29" i="4" s="1"/>
  <c r="D30" i="4"/>
  <c r="E30" i="4" s="1"/>
  <c r="D31" i="4"/>
  <c r="E31" i="4" s="1"/>
  <c r="D32" i="4"/>
  <c r="E32" i="4" s="1"/>
  <c r="D33" i="4"/>
  <c r="E33" i="4" s="1"/>
  <c r="D34" i="4"/>
  <c r="E34" i="4" s="1"/>
  <c r="D35" i="4"/>
  <c r="E35" i="4" s="1"/>
  <c r="D36" i="4"/>
  <c r="E36" i="4" s="1"/>
  <c r="D37" i="4"/>
  <c r="E37" i="4" s="1"/>
  <c r="D38" i="4"/>
  <c r="E38" i="4" s="1"/>
  <c r="D39" i="4"/>
  <c r="E39" i="4" s="1"/>
  <c r="D40" i="4"/>
  <c r="E40" i="4" s="1"/>
  <c r="D41" i="4"/>
  <c r="E41" i="4" s="1"/>
  <c r="D42" i="4"/>
  <c r="E42" i="4" s="1"/>
  <c r="D43" i="4"/>
  <c r="E43" i="4" s="1"/>
  <c r="D44" i="4"/>
  <c r="E44" i="4" s="1"/>
  <c r="D45" i="4"/>
  <c r="E45" i="4" s="1"/>
  <c r="D46" i="4"/>
  <c r="E46" i="4" s="1"/>
  <c r="D47" i="4"/>
  <c r="E47" i="4" s="1"/>
  <c r="D48" i="4"/>
  <c r="E48" i="4" s="1"/>
  <c r="D49" i="4"/>
  <c r="E49" i="4" s="1"/>
  <c r="D50" i="4"/>
  <c r="E50" i="4" s="1"/>
  <c r="D51" i="4"/>
  <c r="E51" i="4" s="1"/>
  <c r="D52" i="4"/>
  <c r="E52" i="4" s="1"/>
  <c r="D53" i="4"/>
  <c r="E53" i="4" s="1"/>
  <c r="D54" i="4"/>
  <c r="E54" i="4" s="1"/>
  <c r="D55" i="4"/>
  <c r="E55" i="4" s="1"/>
  <c r="D56" i="4"/>
  <c r="E56" i="4" s="1"/>
  <c r="D57" i="4"/>
  <c r="E57" i="4" s="1"/>
  <c r="D58" i="4"/>
  <c r="E58" i="4" s="1"/>
  <c r="D59" i="4"/>
  <c r="E59" i="4" s="1"/>
  <c r="D60" i="4"/>
  <c r="E60" i="4" s="1"/>
  <c r="D61" i="4"/>
  <c r="E61" i="4" s="1"/>
  <c r="D62" i="4"/>
  <c r="E62" i="4" s="1"/>
  <c r="D63" i="4"/>
  <c r="E63" i="4" s="1"/>
  <c r="D64" i="4"/>
  <c r="E64" i="4" s="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D65" i="4" s="1"/>
  <c r="E65" i="4" s="1"/>
  <c r="C66" i="4"/>
  <c r="D66" i="4" s="1"/>
  <c r="E66" i="4" s="1"/>
  <c r="C67" i="4"/>
  <c r="D67" i="4" s="1"/>
  <c r="E67" i="4" s="1"/>
  <c r="C68" i="4"/>
  <c r="D68" i="4" s="1"/>
  <c r="E68" i="4" s="1"/>
  <c r="C69" i="4"/>
  <c r="D69" i="4" s="1"/>
  <c r="E69" i="4" s="1"/>
  <c r="C70" i="4"/>
  <c r="D70" i="4" s="1"/>
  <c r="E70" i="4" s="1"/>
  <c r="C71" i="4"/>
  <c r="D71" i="4" s="1"/>
  <c r="E71" i="4" s="1"/>
  <c r="C72" i="4"/>
  <c r="D72" i="4" s="1"/>
  <c r="E72" i="4" s="1"/>
  <c r="C73" i="4"/>
  <c r="D73" i="4" s="1"/>
  <c r="E73" i="4" s="1"/>
  <c r="C74" i="4"/>
  <c r="D74" i="4" s="1"/>
  <c r="E74" i="4" s="1"/>
  <c r="C75" i="4"/>
  <c r="D75" i="4" s="1"/>
  <c r="E75" i="4" s="1"/>
  <c r="C76" i="4"/>
  <c r="D76" i="4" s="1"/>
  <c r="E76" i="4" s="1"/>
  <c r="C77" i="4"/>
  <c r="D77" i="4" s="1"/>
  <c r="E77" i="4" s="1"/>
  <c r="C78" i="4"/>
  <c r="D78" i="4" s="1"/>
  <c r="E78" i="4" s="1"/>
  <c r="C79" i="4"/>
  <c r="D79" i="4" s="1"/>
  <c r="E79" i="4" s="1"/>
  <c r="C80" i="4"/>
  <c r="D80" i="4" s="1"/>
  <c r="E80" i="4" s="1"/>
  <c r="C81" i="4"/>
  <c r="D81" i="4" s="1"/>
  <c r="E81" i="4" s="1"/>
  <c r="C82" i="4"/>
  <c r="D82" i="4" s="1"/>
  <c r="E82" i="4" s="1"/>
  <c r="C83" i="4"/>
  <c r="D83" i="4" s="1"/>
  <c r="E83" i="4" s="1"/>
  <c r="C84" i="4"/>
  <c r="D84" i="4" s="1"/>
  <c r="E84" i="4" s="1"/>
  <c r="C85" i="4"/>
  <c r="D85" i="4" s="1"/>
  <c r="E85" i="4" s="1"/>
  <c r="C86" i="4"/>
  <c r="D86" i="4" s="1"/>
  <c r="E86" i="4" s="1"/>
  <c r="C87" i="4"/>
  <c r="D87" i="4" s="1"/>
  <c r="E87" i="4" s="1"/>
  <c r="C88" i="4"/>
  <c r="D88" i="4" s="1"/>
  <c r="E88" i="4" s="1"/>
  <c r="C89" i="4"/>
  <c r="D89" i="4" s="1"/>
  <c r="E89" i="4" s="1"/>
  <c r="C90" i="4"/>
  <c r="D90" i="4" s="1"/>
  <c r="E90" i="4" s="1"/>
  <c r="C91" i="4"/>
  <c r="D91" i="4" s="1"/>
  <c r="E91" i="4" s="1"/>
  <c r="C92" i="4"/>
  <c r="D92" i="4" s="1"/>
  <c r="E92" i="4" s="1"/>
  <c r="C93" i="4"/>
  <c r="D93" i="4" s="1"/>
  <c r="E93" i="4" s="1"/>
  <c r="C94" i="4"/>
  <c r="D94" i="4" s="1"/>
  <c r="E94" i="4" s="1"/>
  <c r="C95" i="4"/>
  <c r="D95" i="4" s="1"/>
  <c r="E95" i="4" s="1"/>
  <c r="C96" i="4"/>
  <c r="D96" i="4" s="1"/>
  <c r="E96" i="4" s="1"/>
  <c r="C97" i="4"/>
  <c r="D97" i="4" s="1"/>
  <c r="E97" i="4" s="1"/>
  <c r="C98" i="4"/>
  <c r="D98" i="4" s="1"/>
  <c r="E98" i="4" s="1"/>
  <c r="C99" i="4"/>
  <c r="D99" i="4" s="1"/>
  <c r="E99" i="4" s="1"/>
  <c r="C100" i="4"/>
  <c r="D100" i="4" s="1"/>
  <c r="E100" i="4" s="1"/>
  <c r="C101" i="4"/>
  <c r="D101" i="4" s="1"/>
  <c r="E101" i="4" s="1"/>
  <c r="C3" i="4"/>
  <c r="D3" i="4" s="1"/>
  <c r="E3" i="4" s="1"/>
  <c r="B3" i="2" a="1"/>
  <c r="B5" i="2"/>
  <c r="B79" i="4" s="1"/>
  <c r="C5" i="2"/>
  <c r="B68" i="5" s="1"/>
  <c r="D5" i="2"/>
  <c r="B54" i="6" s="1"/>
  <c r="E5" i="2"/>
  <c r="B50" i="7" s="1"/>
  <c r="F5" i="2"/>
  <c r="B57" i="8" s="1"/>
  <c r="G5" i="2"/>
  <c r="B62" i="9" s="1"/>
  <c r="H5" i="2"/>
  <c r="B54" i="11" s="1"/>
  <c r="I5" i="2"/>
  <c r="B62" i="12" s="1"/>
  <c r="J5" i="2"/>
  <c r="B48" i="13" s="1"/>
  <c r="K5" i="2"/>
  <c r="B47" i="14" s="1"/>
  <c r="B6" i="2"/>
  <c r="B88" i="4" s="1"/>
  <c r="C6" i="2"/>
  <c r="B84" i="5" s="1"/>
  <c r="D6" i="2"/>
  <c r="B88" i="6" s="1"/>
  <c r="E6" i="2"/>
  <c r="B86" i="7" s="1"/>
  <c r="F6" i="2"/>
  <c r="B87" i="8" s="1"/>
  <c r="G6" i="2"/>
  <c r="B88" i="9" s="1"/>
  <c r="H6" i="2"/>
  <c r="B91" i="11" s="1"/>
  <c r="I6" i="2"/>
  <c r="B94" i="12" s="1"/>
  <c r="J6" i="2"/>
  <c r="B96" i="13" s="1"/>
  <c r="K6" i="2"/>
  <c r="B96" i="14" s="1"/>
  <c r="B7" i="2"/>
  <c r="B91" i="4" s="1"/>
  <c r="C7" i="2"/>
  <c r="B88" i="5" s="1"/>
  <c r="D7" i="2"/>
  <c r="B82" i="6" s="1"/>
  <c r="E7" i="2"/>
  <c r="B75" i="7" s="1"/>
  <c r="F7" i="2"/>
  <c r="B80" i="8" s="1"/>
  <c r="G7" i="2"/>
  <c r="B78" i="9" s="1"/>
  <c r="H7" i="2"/>
  <c r="B82" i="11" s="1"/>
  <c r="I7" i="2"/>
  <c r="B81" i="12" s="1"/>
  <c r="J7" i="2"/>
  <c r="B85" i="13" s="1"/>
  <c r="K7" i="2"/>
  <c r="B86" i="14" s="1"/>
  <c r="B8" i="2"/>
  <c r="B96" i="4" s="1"/>
  <c r="C8" i="2"/>
  <c r="B93" i="5" s="1"/>
  <c r="D8" i="2"/>
  <c r="B92" i="6" s="1"/>
  <c r="E8" i="2"/>
  <c r="B87" i="7" s="1"/>
  <c r="F8" i="2"/>
  <c r="B91" i="8" s="1"/>
  <c r="G8" i="2"/>
  <c r="B95" i="9" s="1"/>
  <c r="H8" i="2"/>
  <c r="B92" i="11" s="1"/>
  <c r="I8" i="2"/>
  <c r="B97" i="12" s="1"/>
  <c r="J8" i="2"/>
  <c r="B98" i="13" s="1"/>
  <c r="K8" i="2"/>
  <c r="B98" i="14" s="1"/>
  <c r="B9" i="2"/>
  <c r="B99" i="4" s="1"/>
  <c r="C9" i="2"/>
  <c r="B99" i="5" s="1"/>
  <c r="D9" i="2"/>
  <c r="B99" i="6" s="1"/>
  <c r="E9" i="2"/>
  <c r="B99" i="7" s="1"/>
  <c r="F9" i="2"/>
  <c r="B98" i="8" s="1"/>
  <c r="G9" i="2"/>
  <c r="B100" i="9" s="1"/>
  <c r="H9" i="2"/>
  <c r="B99" i="11" s="1"/>
  <c r="I9" i="2"/>
  <c r="B100" i="12" s="1"/>
  <c r="J9" i="2"/>
  <c r="B101" i="13" s="1"/>
  <c r="K9" i="2"/>
  <c r="B101" i="14" s="1"/>
  <c r="B10" i="2"/>
  <c r="B101" i="4" s="1"/>
  <c r="C10" i="2"/>
  <c r="B101" i="5" s="1"/>
  <c r="D10" i="2"/>
  <c r="B101" i="6" s="1"/>
  <c r="E10" i="2"/>
  <c r="B101" i="7" s="1"/>
  <c r="F10" i="2"/>
  <c r="B101" i="8" s="1"/>
  <c r="G10" i="2"/>
  <c r="B101" i="9" s="1"/>
  <c r="H10" i="2"/>
  <c r="B101" i="11" s="1"/>
  <c r="I10" i="2"/>
  <c r="B101" i="12" s="1"/>
  <c r="J10" i="2"/>
  <c r="B100" i="13" s="1"/>
  <c r="K10" i="2"/>
  <c r="B99" i="14" s="1"/>
  <c r="B11" i="2"/>
  <c r="B94" i="4" s="1"/>
  <c r="C11" i="2"/>
  <c r="B91" i="5" s="1"/>
  <c r="D11" i="2"/>
  <c r="B91" i="6" s="1"/>
  <c r="E11" i="2"/>
  <c r="B92" i="7" s="1"/>
  <c r="F11" i="2"/>
  <c r="B89" i="8" s="1"/>
  <c r="G11" i="2"/>
  <c r="B89" i="9" s="1"/>
  <c r="H11" i="2"/>
  <c r="B88" i="11" s="1"/>
  <c r="I11" i="2"/>
  <c r="B88" i="12" s="1"/>
  <c r="J11" i="2"/>
  <c r="B86" i="13" s="1"/>
  <c r="K11" i="2"/>
  <c r="B82" i="14" s="1"/>
  <c r="B12" i="2"/>
  <c r="B89" i="4" s="1"/>
  <c r="C12" i="2"/>
  <c r="B82" i="5" s="1"/>
  <c r="D12" i="2"/>
  <c r="B79" i="6" s="1"/>
  <c r="E12" i="2"/>
  <c r="B80" i="7" s="1"/>
  <c r="F12" i="2"/>
  <c r="B75" i="8" s="1"/>
  <c r="G12" i="2"/>
  <c r="B79" i="9" s="1"/>
  <c r="H12" i="2"/>
  <c r="B75" i="11" s="1"/>
  <c r="I12" i="2"/>
  <c r="B74" i="12" s="1"/>
  <c r="J12" i="2"/>
  <c r="B77" i="13" s="1"/>
  <c r="K12" i="2"/>
  <c r="B60" i="14" s="1"/>
  <c r="B13" i="2"/>
  <c r="B81" i="4" s="1"/>
  <c r="C13" i="2"/>
  <c r="B76" i="5" s="1"/>
  <c r="D13" i="2"/>
  <c r="B74" i="6" s="1"/>
  <c r="E13" i="2"/>
  <c r="B77" i="7" s="1"/>
  <c r="F13" i="2"/>
  <c r="B71" i="8" s="1"/>
  <c r="G13" i="2"/>
  <c r="B73" i="9" s="1"/>
  <c r="H13" i="2"/>
  <c r="B72" i="11" s="1"/>
  <c r="I13" i="2"/>
  <c r="B61" i="12" s="1"/>
  <c r="J13" i="2"/>
  <c r="B70" i="13" s="1"/>
  <c r="K13" i="2"/>
  <c r="B52" i="14" s="1"/>
  <c r="B14" i="2"/>
  <c r="B98" i="4" s="1"/>
  <c r="C14" i="2"/>
  <c r="B97" i="5" s="1"/>
  <c r="D14" i="2"/>
  <c r="B97" i="6" s="1"/>
  <c r="E14" i="2"/>
  <c r="B96" i="7" s="1"/>
  <c r="F14" i="2"/>
  <c r="B96" i="8" s="1"/>
  <c r="G14" i="2"/>
  <c r="B96" i="9" s="1"/>
  <c r="H14" i="2"/>
  <c r="B96" i="11" s="1"/>
  <c r="I14" i="2"/>
  <c r="B93" i="12" s="1"/>
  <c r="J14" i="2"/>
  <c r="B95" i="13" s="1"/>
  <c r="K14" i="2"/>
  <c r="B89" i="14" s="1"/>
  <c r="B15" i="2"/>
  <c r="B93" i="4" s="1"/>
  <c r="C15" i="2"/>
  <c r="B92" i="5" s="1"/>
  <c r="D15" i="2"/>
  <c r="B94" i="6" s="1"/>
  <c r="E15" i="2"/>
  <c r="B93" i="7" s="1"/>
  <c r="F15" i="2"/>
  <c r="B95" i="8" s="1"/>
  <c r="G15" i="2"/>
  <c r="B97" i="9" s="1"/>
  <c r="H15" i="2"/>
  <c r="B97" i="11" s="1"/>
  <c r="I15" i="2"/>
  <c r="B92" i="12" s="1"/>
  <c r="J15" i="2"/>
  <c r="B93" i="13" s="1"/>
  <c r="K15" i="2"/>
  <c r="B93" i="14" s="1"/>
  <c r="B16" i="2"/>
  <c r="B100" i="4" s="1"/>
  <c r="C16" i="2"/>
  <c r="B95" i="5" s="1"/>
  <c r="D16" i="2"/>
  <c r="B93" i="6" s="1"/>
  <c r="E16" i="2"/>
  <c r="B95" i="7" s="1"/>
  <c r="F16" i="2"/>
  <c r="B94" i="8" s="1"/>
  <c r="G16" i="2"/>
  <c r="B90" i="9" s="1"/>
  <c r="H16" i="2"/>
  <c r="B93" i="11" s="1"/>
  <c r="I16" i="2"/>
  <c r="B87" i="12" s="1"/>
  <c r="J16" i="2"/>
  <c r="B87" i="13" s="1"/>
  <c r="K16" i="2"/>
  <c r="B78" i="14" s="1"/>
  <c r="B17" i="2"/>
  <c r="B92" i="4" s="1"/>
  <c r="C17" i="2"/>
  <c r="B90" i="5" s="1"/>
  <c r="D17" i="2"/>
  <c r="B84" i="6" s="1"/>
  <c r="E17" i="2"/>
  <c r="B89" i="7" s="1"/>
  <c r="F17" i="2"/>
  <c r="B81" i="8" s="1"/>
  <c r="G17" i="2"/>
  <c r="B80" i="9" s="1"/>
  <c r="H17" i="2"/>
  <c r="B85" i="11" s="1"/>
  <c r="I17" i="2"/>
  <c r="B80" i="12" s="1"/>
  <c r="J17" i="2"/>
  <c r="B79" i="13" s="1"/>
  <c r="K17" i="2"/>
  <c r="B71" i="14" s="1"/>
  <c r="B18" i="2"/>
  <c r="B80" i="4" s="1"/>
  <c r="C18" i="2"/>
  <c r="B74" i="5" s="1"/>
  <c r="D18" i="2"/>
  <c r="B60" i="6" s="1"/>
  <c r="E18" i="2"/>
  <c r="B70" i="7" s="1"/>
  <c r="F18" i="2"/>
  <c r="B56" i="8" s="1"/>
  <c r="G18" i="2"/>
  <c r="B56" i="9" s="1"/>
  <c r="H18" i="2"/>
  <c r="B69" i="11" s="1"/>
  <c r="I18" i="2"/>
  <c r="B57" i="12" s="1"/>
  <c r="J18" i="2"/>
  <c r="B53" i="13" s="1"/>
  <c r="K18" i="2"/>
  <c r="B36" i="14" s="1"/>
  <c r="B19" i="2"/>
  <c r="B75" i="4" s="1"/>
  <c r="C19" i="2"/>
  <c r="B46" i="5" s="1"/>
  <c r="D19" i="2"/>
  <c r="B26" i="6" s="1"/>
  <c r="E19" i="2"/>
  <c r="B37" i="7" s="1"/>
  <c r="F19" i="2"/>
  <c r="B24" i="8" s="1"/>
  <c r="G19" i="2"/>
  <c r="B21" i="9" s="1"/>
  <c r="H19" i="2"/>
  <c r="B28" i="11" s="1"/>
  <c r="I19" i="2"/>
  <c r="B29" i="12" s="1"/>
  <c r="J19" i="2"/>
  <c r="B32" i="13" s="1"/>
  <c r="K19" i="2"/>
  <c r="B37" i="14" s="1"/>
  <c r="B20" i="2"/>
  <c r="B87" i="4" s="1"/>
  <c r="C20" i="2"/>
  <c r="B75" i="5" s="1"/>
  <c r="D20" i="2"/>
  <c r="B67" i="6" s="1"/>
  <c r="E20" i="2"/>
  <c r="B67" i="7" s="1"/>
  <c r="F20" i="2"/>
  <c r="B59" i="8" s="1"/>
  <c r="G20" i="2"/>
  <c r="B57" i="9" s="1"/>
  <c r="H20" i="2"/>
  <c r="B61" i="11" s="1"/>
  <c r="I20" i="2"/>
  <c r="B51" i="12" s="1"/>
  <c r="J20" i="2"/>
  <c r="B54" i="13" s="1"/>
  <c r="K20" i="2"/>
  <c r="B19" i="14" s="1"/>
  <c r="B21" i="2"/>
  <c r="B65" i="4" s="1"/>
  <c r="C21" i="2"/>
  <c r="B40" i="5" s="1"/>
  <c r="D21" i="2"/>
  <c r="B34" i="6" s="1"/>
  <c r="E21" i="2"/>
  <c r="B30" i="7" s="1"/>
  <c r="F21" i="2"/>
  <c r="B28" i="8" s="1"/>
  <c r="G21" i="2"/>
  <c r="B28" i="9" s="1"/>
  <c r="H21" i="2"/>
  <c r="B31" i="11" s="1"/>
  <c r="I21" i="2"/>
  <c r="B21" i="12" s="1"/>
  <c r="J21" i="2"/>
  <c r="B18" i="13" s="1"/>
  <c r="K21" i="2"/>
  <c r="B4" i="14" s="1"/>
  <c r="B22" i="2"/>
  <c r="B72" i="4" s="1"/>
  <c r="C22" i="2"/>
  <c r="B48" i="5" s="1"/>
  <c r="D22" i="2"/>
  <c r="B50" i="6" s="1"/>
  <c r="E22" i="2"/>
  <c r="B51" i="7" s="1"/>
  <c r="F22" i="2"/>
  <c r="B49" i="8" s="1"/>
  <c r="G22" i="2"/>
  <c r="B53" i="9" s="1"/>
  <c r="H22" i="2"/>
  <c r="B52" i="11" s="1"/>
  <c r="I22" i="2"/>
  <c r="B50" i="12" s="1"/>
  <c r="J22" i="2"/>
  <c r="B46" i="13" s="1"/>
  <c r="K22" i="2"/>
  <c r="B18" i="14" s="1"/>
  <c r="B23" i="2"/>
  <c r="B85" i="4" s="1"/>
  <c r="C23" i="2"/>
  <c r="B83" i="5" s="1"/>
  <c r="D23" i="2"/>
  <c r="B85" i="6" s="1"/>
  <c r="E23" i="2"/>
  <c r="B81" i="7" s="1"/>
  <c r="F23" i="2"/>
  <c r="B85" i="8" s="1"/>
  <c r="G23" i="2"/>
  <c r="B86" i="9" s="1"/>
  <c r="H23" i="2"/>
  <c r="B86" i="11" s="1"/>
  <c r="I23" i="2"/>
  <c r="B84" i="12" s="1"/>
  <c r="J23" i="2"/>
  <c r="B84" i="13" s="1"/>
  <c r="K23" i="2"/>
  <c r="B75" i="14" s="1"/>
  <c r="B24" i="2"/>
  <c r="B70" i="4" s="1"/>
  <c r="C24" i="2"/>
  <c r="B58" i="5" s="1"/>
  <c r="D24" i="2"/>
  <c r="B53" i="6" s="1"/>
  <c r="E24" i="2"/>
  <c r="B53" i="7" s="1"/>
  <c r="F24" i="2"/>
  <c r="B53" i="8" s="1"/>
  <c r="G24" i="2"/>
  <c r="B60" i="9" s="1"/>
  <c r="H24" i="2"/>
  <c r="B57" i="11" s="1"/>
  <c r="I24" i="2"/>
  <c r="B53" i="12" s="1"/>
  <c r="J24" i="2"/>
  <c r="B57" i="13" s="1"/>
  <c r="K24" i="2"/>
  <c r="B34" i="14" s="1"/>
  <c r="B25" i="2"/>
  <c r="B67" i="4" s="1"/>
  <c r="C25" i="2"/>
  <c r="B57" i="5" s="1"/>
  <c r="D25" i="2"/>
  <c r="B58" i="6" s="1"/>
  <c r="E25" i="2"/>
  <c r="B48" i="7" s="1"/>
  <c r="F25" i="2"/>
  <c r="B47" i="8" s="1"/>
  <c r="G25" i="2"/>
  <c r="B64" i="9" s="1"/>
  <c r="H25" i="2"/>
  <c r="B63" i="11" s="1"/>
  <c r="I25" i="2"/>
  <c r="B54" i="12" s="1"/>
  <c r="J25" i="2"/>
  <c r="B60" i="13" s="1"/>
  <c r="K25" i="2"/>
  <c r="B43" i="14" s="1"/>
  <c r="B26" i="2"/>
  <c r="B45" i="4" s="1"/>
  <c r="C26" i="2"/>
  <c r="B34" i="5" s="1"/>
  <c r="D26" i="2"/>
  <c r="B31" i="6" s="1"/>
  <c r="E26" i="2"/>
  <c r="B27" i="7" s="1"/>
  <c r="F26" i="2"/>
  <c r="B26" i="8" s="1"/>
  <c r="G26" i="2"/>
  <c r="B30" i="9" s="1"/>
  <c r="H26" i="2"/>
  <c r="B29" i="11" s="1"/>
  <c r="I26" i="2"/>
  <c r="B26" i="12" s="1"/>
  <c r="J26" i="2"/>
  <c r="B26" i="13" s="1"/>
  <c r="K26" i="2"/>
  <c r="B15" i="14" s="1"/>
  <c r="B27" i="2"/>
  <c r="B69" i="4" s="1"/>
  <c r="C27" i="2"/>
  <c r="B54" i="5" s="1"/>
  <c r="D27" i="2"/>
  <c r="B51" i="6" s="1"/>
  <c r="E27" i="2"/>
  <c r="B54" i="7" s="1"/>
  <c r="F27" i="2"/>
  <c r="B45" i="8" s="1"/>
  <c r="G27" i="2"/>
  <c r="B54" i="9" s="1"/>
  <c r="H27" i="2"/>
  <c r="B50" i="11" s="1"/>
  <c r="I27" i="2"/>
  <c r="B48" i="12" s="1"/>
  <c r="J27" i="2"/>
  <c r="B49" i="13" s="1"/>
  <c r="K27" i="2"/>
  <c r="B46" i="14" s="1"/>
  <c r="B28" i="2"/>
  <c r="B44" i="4" s="1"/>
  <c r="C28" i="2"/>
  <c r="B28" i="5" s="1"/>
  <c r="D28" i="2"/>
  <c r="B30" i="6" s="1"/>
  <c r="E28" i="2"/>
  <c r="B28" i="7" s="1"/>
  <c r="F28" i="2"/>
  <c r="B22" i="8" s="1"/>
  <c r="G28" i="2"/>
  <c r="B24" i="9" s="1"/>
  <c r="H28" i="2"/>
  <c r="B25" i="11" s="1"/>
  <c r="I28" i="2"/>
  <c r="B24" i="12" s="1"/>
  <c r="J28" i="2"/>
  <c r="B19" i="13" s="1"/>
  <c r="K28" i="2"/>
  <c r="B22" i="14" s="1"/>
  <c r="B29" i="2"/>
  <c r="B6" i="4" s="1"/>
  <c r="C29" i="2"/>
  <c r="B4" i="5" s="1"/>
  <c r="D29" i="2"/>
  <c r="B4" i="6" s="1"/>
  <c r="E29" i="2"/>
  <c r="B3" i="7" s="1"/>
  <c r="F29" i="2"/>
  <c r="B4" i="8" s="1"/>
  <c r="G29" i="2"/>
  <c r="B4" i="9" s="1"/>
  <c r="H29" i="2"/>
  <c r="B4" i="11" s="1"/>
  <c r="I29" i="2"/>
  <c r="B4" i="12" s="1"/>
  <c r="J29" i="2"/>
  <c r="B4" i="13" s="1"/>
  <c r="K29" i="2"/>
  <c r="B7" i="14" s="1"/>
  <c r="B30" i="2"/>
  <c r="B23" i="4" s="1"/>
  <c r="C30" i="2"/>
  <c r="B22" i="5" s="1"/>
  <c r="D30" i="2"/>
  <c r="B21" i="6" s="1"/>
  <c r="E30" i="2"/>
  <c r="B16" i="7" s="1"/>
  <c r="F30" i="2"/>
  <c r="B18" i="8" s="1"/>
  <c r="G30" i="2"/>
  <c r="B16" i="9" s="1"/>
  <c r="H30" i="2"/>
  <c r="B15" i="11" s="1"/>
  <c r="I30" i="2"/>
  <c r="B19" i="12" s="1"/>
  <c r="J30" i="2"/>
  <c r="B12" i="13" s="1"/>
  <c r="K30" i="2"/>
  <c r="B14" i="14" s="1"/>
  <c r="B31" i="2"/>
  <c r="B19" i="4" s="1"/>
  <c r="C31" i="2"/>
  <c r="B10" i="5" s="1"/>
  <c r="D31" i="2"/>
  <c r="B5" i="6" s="1"/>
  <c r="E31" i="2"/>
  <c r="B7" i="7" s="1"/>
  <c r="F31" i="2"/>
  <c r="B7" i="8" s="1"/>
  <c r="G31" i="2"/>
  <c r="B8" i="9" s="1"/>
  <c r="H31" i="2"/>
  <c r="B5" i="11" s="1"/>
  <c r="I31" i="2"/>
  <c r="B7" i="12" s="1"/>
  <c r="J31" i="2"/>
  <c r="B7" i="13" s="1"/>
  <c r="K31" i="2"/>
  <c r="B9" i="14" s="1"/>
  <c r="B32" i="2"/>
  <c r="B38" i="4" s="1"/>
  <c r="C32" i="2"/>
  <c r="B30" i="5" s="1"/>
  <c r="D32" i="2"/>
  <c r="B33" i="6" s="1"/>
  <c r="E32" i="2"/>
  <c r="B33" i="7" s="1"/>
  <c r="F32" i="2"/>
  <c r="B40" i="8" s="1"/>
  <c r="G32" i="2"/>
  <c r="B40" i="9" s="1"/>
  <c r="H32" i="2"/>
  <c r="B39" i="11" s="1"/>
  <c r="I32" i="2"/>
  <c r="B37" i="12" s="1"/>
  <c r="J32" i="2"/>
  <c r="B39" i="13" s="1"/>
  <c r="K32" i="2"/>
  <c r="B51" i="14" s="1"/>
  <c r="B33" i="2"/>
  <c r="B9" i="4" s="1"/>
  <c r="C33" i="2"/>
  <c r="B8" i="5" s="1"/>
  <c r="D33" i="2"/>
  <c r="B9" i="6" s="1"/>
  <c r="E33" i="2"/>
  <c r="B12" i="7" s="1"/>
  <c r="F33" i="2"/>
  <c r="B14" i="8" s="1"/>
  <c r="G33" i="2"/>
  <c r="B17" i="9" s="1"/>
  <c r="H33" i="2"/>
  <c r="B21" i="11" s="1"/>
  <c r="I33" i="2"/>
  <c r="B17" i="12" s="1"/>
  <c r="J33" i="2"/>
  <c r="B23" i="13" s="1"/>
  <c r="K33" i="2"/>
  <c r="B41" i="14" s="1"/>
  <c r="B34" i="2"/>
  <c r="B33" i="4" s="1"/>
  <c r="C34" i="2"/>
  <c r="B23" i="5" s="1"/>
  <c r="D34" i="2"/>
  <c r="B28" i="6" s="1"/>
  <c r="E34" i="2"/>
  <c r="B32" i="7" s="1"/>
  <c r="F34" i="2"/>
  <c r="B42" i="8" s="1"/>
  <c r="G34" i="2"/>
  <c r="B39" i="9" s="1"/>
  <c r="H34" i="2"/>
  <c r="B43" i="11" s="1"/>
  <c r="I34" i="2"/>
  <c r="B41" i="12" s="1"/>
  <c r="J34" i="2"/>
  <c r="B45" i="13" s="1"/>
  <c r="K34" i="2"/>
  <c r="B57" i="14" s="1"/>
  <c r="B35" i="2"/>
  <c r="B21" i="4" s="1"/>
  <c r="C35" i="2"/>
  <c r="B7" i="5" s="1"/>
  <c r="D35" i="2"/>
  <c r="B10" i="6" s="1"/>
  <c r="E35" i="2"/>
  <c r="B9" i="7" s="1"/>
  <c r="F35" i="2"/>
  <c r="B13" i="8" s="1"/>
  <c r="G35" i="2"/>
  <c r="B9" i="9" s="1"/>
  <c r="H35" i="2"/>
  <c r="B9" i="11" s="1"/>
  <c r="I35" i="2"/>
  <c r="B9" i="12" s="1"/>
  <c r="J35" i="2"/>
  <c r="B11" i="13" s="1"/>
  <c r="K35" i="2"/>
  <c r="B20" i="14" s="1"/>
  <c r="B36" i="2"/>
  <c r="B22" i="4" s="1"/>
  <c r="C36" i="2"/>
  <c r="B18" i="5" s="1"/>
  <c r="D36" i="2"/>
  <c r="B14" i="6" s="1"/>
  <c r="E36" i="2"/>
  <c r="B18" i="7" s="1"/>
  <c r="F36" i="2"/>
  <c r="B19" i="8" s="1"/>
  <c r="G36" i="2"/>
  <c r="B12" i="9" s="1"/>
  <c r="H36" i="2"/>
  <c r="B14" i="11" s="1"/>
  <c r="I36" i="2"/>
  <c r="B13" i="12" s="1"/>
  <c r="J36" i="2"/>
  <c r="B13" i="13" s="1"/>
  <c r="K36" i="2"/>
  <c r="B25" i="14" s="1"/>
  <c r="B37" i="2"/>
  <c r="B17" i="4" s="1"/>
  <c r="C37" i="2"/>
  <c r="B14" i="5" s="1"/>
  <c r="D37" i="2"/>
  <c r="B16" i="6" s="1"/>
  <c r="E37" i="2"/>
  <c r="B15" i="7" s="1"/>
  <c r="F37" i="2"/>
  <c r="B31" i="8" s="1"/>
  <c r="G37" i="2"/>
  <c r="B20" i="9" s="1"/>
  <c r="H37" i="2"/>
  <c r="B17" i="11" s="1"/>
  <c r="I37" i="2"/>
  <c r="B23" i="12" s="1"/>
  <c r="J37" i="2"/>
  <c r="B22" i="13" s="1"/>
  <c r="K37" i="2"/>
  <c r="B33" i="14" s="1"/>
  <c r="B38" i="2"/>
  <c r="B15" i="4" s="1"/>
  <c r="C38" i="2"/>
  <c r="B11" i="5" s="1"/>
  <c r="D38" i="2"/>
  <c r="B11" i="6" s="1"/>
  <c r="E38" i="2"/>
  <c r="B10" i="7" s="1"/>
  <c r="F38" i="2"/>
  <c r="B10" i="8" s="1"/>
  <c r="G38" i="2"/>
  <c r="B7" i="9" s="1"/>
  <c r="H38" i="2"/>
  <c r="B7" i="11" s="1"/>
  <c r="I38" i="2"/>
  <c r="B8" i="12" s="1"/>
  <c r="J38" i="2"/>
  <c r="B6" i="13" s="1"/>
  <c r="K38" i="2"/>
  <c r="B11" i="14" s="1"/>
  <c r="B39" i="2"/>
  <c r="B53" i="4" s="1"/>
  <c r="C39" i="2"/>
  <c r="B50" i="5" s="1"/>
  <c r="D39" i="2"/>
  <c r="B57" i="6" s="1"/>
  <c r="E39" i="2"/>
  <c r="B59" i="7" s="1"/>
  <c r="F39" i="2"/>
  <c r="B62" i="8" s="1"/>
  <c r="G39" i="2"/>
  <c r="B55" i="9" s="1"/>
  <c r="H39" i="2"/>
  <c r="B68" i="11" s="1"/>
  <c r="I39" i="2"/>
  <c r="B73" i="12" s="1"/>
  <c r="J39" i="2"/>
  <c r="B76" i="13" s="1"/>
  <c r="K39" i="2"/>
  <c r="B74" i="14" s="1"/>
  <c r="B40" i="2"/>
  <c r="B14" i="4" s="1"/>
  <c r="C40" i="2"/>
  <c r="B16" i="5" s="1"/>
  <c r="D40" i="2"/>
  <c r="B13" i="6" s="1"/>
  <c r="E40" i="2"/>
  <c r="B17" i="7" s="1"/>
  <c r="F40" i="2"/>
  <c r="B9" i="8" s="1"/>
  <c r="G40" i="2"/>
  <c r="B5" i="9" s="1"/>
  <c r="H40" i="2"/>
  <c r="B10" i="11" s="1"/>
  <c r="I40" i="2"/>
  <c r="B5" i="12" s="1"/>
  <c r="J40" i="2"/>
  <c r="B14" i="13" s="1"/>
  <c r="K40" i="2"/>
  <c r="B16" i="14" s="1"/>
  <c r="B41" i="2"/>
  <c r="B3" i="4" s="1"/>
  <c r="C41" i="2"/>
  <c r="B3" i="5" s="1"/>
  <c r="D41" i="2"/>
  <c r="B3" i="6" s="1"/>
  <c r="E41" i="2"/>
  <c r="B4" i="7" s="1"/>
  <c r="F41" i="2"/>
  <c r="B3" i="8" s="1"/>
  <c r="G41" i="2"/>
  <c r="B3" i="9" s="1"/>
  <c r="H41" i="2"/>
  <c r="B3" i="11" s="1"/>
  <c r="I41" i="2"/>
  <c r="B3" i="12" s="1"/>
  <c r="J41" i="2"/>
  <c r="B3" i="13" s="1"/>
  <c r="K41" i="2"/>
  <c r="B3" i="14" s="1"/>
  <c r="B42" i="2"/>
  <c r="B24" i="4" s="1"/>
  <c r="C42" i="2"/>
  <c r="B19" i="5" s="1"/>
  <c r="D42" i="2"/>
  <c r="B12" i="6" s="1"/>
  <c r="E42" i="2"/>
  <c r="B20" i="7" s="1"/>
  <c r="F42" i="2"/>
  <c r="B16" i="8" s="1"/>
  <c r="G42" i="2"/>
  <c r="B10" i="9" s="1"/>
  <c r="H42" i="2"/>
  <c r="B6" i="11" s="1"/>
  <c r="I42" i="2"/>
  <c r="B10" i="12" s="1"/>
  <c r="J42" i="2"/>
  <c r="B5" i="13" s="1"/>
  <c r="K42" i="2"/>
  <c r="B5" i="14" s="1"/>
  <c r="B43" i="2"/>
  <c r="B58" i="4" s="1"/>
  <c r="C43" i="2"/>
  <c r="B49" i="5" s="1"/>
  <c r="D43" i="2"/>
  <c r="B48" i="6" s="1"/>
  <c r="E43" i="2"/>
  <c r="B55" i="7" s="1"/>
  <c r="F43" i="2"/>
  <c r="B46" i="8" s="1"/>
  <c r="G43" i="2"/>
  <c r="B47" i="9" s="1"/>
  <c r="H43" i="2"/>
  <c r="B46" i="11" s="1"/>
  <c r="I43" i="2"/>
  <c r="B43" i="12" s="1"/>
  <c r="J43" i="2"/>
  <c r="B43" i="13" s="1"/>
  <c r="K43" i="2"/>
  <c r="B42" i="14" s="1"/>
  <c r="B44" i="2"/>
  <c r="B42" i="4" s="1"/>
  <c r="C44" i="2"/>
  <c r="B32" i="5" s="1"/>
  <c r="D44" i="2"/>
  <c r="B29" i="6" s="1"/>
  <c r="E44" i="2"/>
  <c r="B31" i="7" s="1"/>
  <c r="F44" i="2"/>
  <c r="B21" i="8" s="1"/>
  <c r="G44" i="2"/>
  <c r="B19" i="9" s="1"/>
  <c r="H44" i="2"/>
  <c r="B18" i="11" s="1"/>
  <c r="I44" i="2"/>
  <c r="B12" i="12" s="1"/>
  <c r="J44" i="2"/>
  <c r="B8" i="13" s="1"/>
  <c r="K44" i="2"/>
  <c r="B12" i="14" s="1"/>
  <c r="B45" i="2"/>
  <c r="B51" i="4" s="1"/>
  <c r="C45" i="2"/>
  <c r="B43" i="5" s="1"/>
  <c r="D45" i="2"/>
  <c r="B36" i="6" s="1"/>
  <c r="E45" i="2"/>
  <c r="B35" i="7" s="1"/>
  <c r="F45" i="2"/>
  <c r="B32" i="8" s="1"/>
  <c r="G45" i="2"/>
  <c r="B29" i="9" s="1"/>
  <c r="H45" i="2"/>
  <c r="B27" i="11" s="1"/>
  <c r="I45" i="2"/>
  <c r="B20" i="12" s="1"/>
  <c r="J45" i="2"/>
  <c r="B20" i="13" s="1"/>
  <c r="K45" i="2"/>
  <c r="B21" i="14" s="1"/>
  <c r="B46" i="2"/>
  <c r="B61" i="4" s="1"/>
  <c r="C46" i="2"/>
  <c r="B51" i="5" s="1"/>
  <c r="D46" i="2"/>
  <c r="B47" i="6" s="1"/>
  <c r="E46" i="2"/>
  <c r="B47" i="7" s="1"/>
  <c r="F46" i="2"/>
  <c r="B39" i="8" s="1"/>
  <c r="G46" i="2"/>
  <c r="B35" i="9" s="1"/>
  <c r="H46" i="2"/>
  <c r="B40" i="11" s="1"/>
  <c r="I46" i="2"/>
  <c r="B30" i="12" s="1"/>
  <c r="J46" i="2"/>
  <c r="B30" i="13" s="1"/>
  <c r="K46" i="2"/>
  <c r="B30" i="14" s="1"/>
  <c r="B47" i="2"/>
  <c r="B74" i="4" s="1"/>
  <c r="C47" i="2"/>
  <c r="B72" i="5" s="1"/>
  <c r="D47" i="2"/>
  <c r="B75" i="6" s="1"/>
  <c r="E47" i="2"/>
  <c r="B73" i="7" s="1"/>
  <c r="F47" i="2"/>
  <c r="B70" i="8" s="1"/>
  <c r="G47" i="2"/>
  <c r="B70" i="9" s="1"/>
  <c r="H47" i="2"/>
  <c r="B73" i="11" s="1"/>
  <c r="I47" i="2"/>
  <c r="B65" i="12" s="1"/>
  <c r="J47" i="2"/>
  <c r="B68" i="13" s="1"/>
  <c r="K47" i="2"/>
  <c r="B65" i="14" s="1"/>
  <c r="B48" i="2"/>
  <c r="B59" i="4" s="1"/>
  <c r="C48" i="2"/>
  <c r="B47" i="5" s="1"/>
  <c r="D48" i="2"/>
  <c r="B46" i="6" s="1"/>
  <c r="E48" i="2"/>
  <c r="B38" i="7" s="1"/>
  <c r="F48" i="2"/>
  <c r="B35" i="8" s="1"/>
  <c r="G48" i="2"/>
  <c r="B44" i="9" s="1"/>
  <c r="H48" i="2"/>
  <c r="B36" i="11" s="1"/>
  <c r="I48" i="2"/>
  <c r="B32" i="12" s="1"/>
  <c r="J48" i="2"/>
  <c r="B27" i="13" s="1"/>
  <c r="K48" i="2"/>
  <c r="B29" i="14" s="1"/>
  <c r="B49" i="2"/>
  <c r="B28" i="4" s="1"/>
  <c r="C49" i="2"/>
  <c r="B25" i="5" s="1"/>
  <c r="D49" i="2"/>
  <c r="B18" i="6" s="1"/>
  <c r="E49" i="2"/>
  <c r="B11" i="7" s="1"/>
  <c r="F49" i="2"/>
  <c r="B8" i="8" s="1"/>
  <c r="G49" i="2"/>
  <c r="B13" i="9" s="1"/>
  <c r="H49" i="2"/>
  <c r="B12" i="11" s="1"/>
  <c r="I49" i="2"/>
  <c r="B6" i="12" s="1"/>
  <c r="J49" i="2"/>
  <c r="B9" i="13" s="1"/>
  <c r="K49" i="2"/>
  <c r="B13" i="14" s="1"/>
  <c r="B50" i="2"/>
  <c r="B54" i="4" s="1"/>
  <c r="C50" i="2"/>
  <c r="B55" i="5" s="1"/>
  <c r="D50" i="2"/>
  <c r="B56" i="6" s="1"/>
  <c r="E50" i="2"/>
  <c r="B58" i="7" s="1"/>
  <c r="F50" i="2"/>
  <c r="B58" i="8" s="1"/>
  <c r="G50" i="2"/>
  <c r="B61" i="9" s="1"/>
  <c r="H50" i="2"/>
  <c r="B66" i="11" s="1"/>
  <c r="I50" i="2"/>
  <c r="B72" i="12" s="1"/>
  <c r="J50" i="2"/>
  <c r="B67" i="13" s="1"/>
  <c r="K50" i="2"/>
  <c r="B68" i="14" s="1"/>
  <c r="B51" i="2"/>
  <c r="B46" i="4" s="1"/>
  <c r="C51" i="2"/>
  <c r="B53" i="5" s="1"/>
  <c r="D51" i="2"/>
  <c r="B55" i="6" s="1"/>
  <c r="E51" i="2"/>
  <c r="B56" i="7" s="1"/>
  <c r="F51" i="2"/>
  <c r="B61" i="8" s="1"/>
  <c r="G51" i="2"/>
  <c r="B71" i="9" s="1"/>
  <c r="H51" i="2"/>
  <c r="B79" i="11" s="1"/>
  <c r="I51" i="2"/>
  <c r="B79" i="12" s="1"/>
  <c r="J51" i="2"/>
  <c r="B82" i="13" s="1"/>
  <c r="K51" i="2"/>
  <c r="B88" i="14" s="1"/>
  <c r="B52" i="2"/>
  <c r="B32" i="4" s="1"/>
  <c r="C52" i="2"/>
  <c r="B41" i="5" s="1"/>
  <c r="D52" i="2"/>
  <c r="B44" i="6" s="1"/>
  <c r="E52" i="2"/>
  <c r="B43" i="7" s="1"/>
  <c r="F52" i="2"/>
  <c r="B44" i="8" s="1"/>
  <c r="G52" i="2"/>
  <c r="B46" i="9" s="1"/>
  <c r="H52" i="2"/>
  <c r="B56" i="11" s="1"/>
  <c r="I52" i="2"/>
  <c r="B59" i="12" s="1"/>
  <c r="J52" i="2"/>
  <c r="B58" i="13" s="1"/>
  <c r="K52" i="2"/>
  <c r="B67" i="14" s="1"/>
  <c r="B53" i="2"/>
  <c r="B16" i="4" s="1"/>
  <c r="C53" i="2"/>
  <c r="B20" i="5" s="1"/>
  <c r="D53" i="2"/>
  <c r="B25" i="6" s="1"/>
  <c r="E53" i="2"/>
  <c r="B23" i="7" s="1"/>
  <c r="F53" i="2"/>
  <c r="B23" i="8" s="1"/>
  <c r="G53" i="2"/>
  <c r="B25" i="9" s="1"/>
  <c r="H53" i="2"/>
  <c r="B23" i="11" s="1"/>
  <c r="I53" i="2"/>
  <c r="B28" i="12" s="1"/>
  <c r="J53" i="2"/>
  <c r="B29" i="13" s="1"/>
  <c r="K53" i="2"/>
  <c r="B39" i="14" s="1"/>
  <c r="B54" i="2"/>
  <c r="B4" i="4" s="1"/>
  <c r="C54" i="2"/>
  <c r="B6" i="5" s="1"/>
  <c r="D54" i="2"/>
  <c r="B6" i="6" s="1"/>
  <c r="E54" i="2"/>
  <c r="B5" i="7" s="1"/>
  <c r="F54" i="2"/>
  <c r="B6" i="8" s="1"/>
  <c r="G54" i="2"/>
  <c r="B6" i="9" s="1"/>
  <c r="H54" i="2"/>
  <c r="B8" i="11" s="1"/>
  <c r="I54" i="2"/>
  <c r="B11" i="12" s="1"/>
  <c r="J54" i="2"/>
  <c r="B15" i="13" s="1"/>
  <c r="K54" i="2"/>
  <c r="B23" i="14" s="1"/>
  <c r="B55" i="2"/>
  <c r="B49" i="4" s="1"/>
  <c r="C55" i="2"/>
  <c r="B44" i="5" s="1"/>
  <c r="D55" i="2"/>
  <c r="B49" i="6" s="1"/>
  <c r="E55" i="2"/>
  <c r="B46" i="7" s="1"/>
  <c r="F55" i="2"/>
  <c r="B43" i="8" s="1"/>
  <c r="G55" i="2"/>
  <c r="B45" i="9" s="1"/>
  <c r="H55" i="2"/>
  <c r="B42" i="11" s="1"/>
  <c r="I55" i="2"/>
  <c r="B38" i="12" s="1"/>
  <c r="J55" i="2"/>
  <c r="B36" i="13" s="1"/>
  <c r="K55" i="2"/>
  <c r="B50" i="14" s="1"/>
  <c r="B56" i="2"/>
  <c r="B35" i="4" s="1"/>
  <c r="C56" i="2"/>
  <c r="B35" i="5" s="1"/>
  <c r="D56" i="2"/>
  <c r="B39" i="6" s="1"/>
  <c r="E56" i="2"/>
  <c r="B36" i="7" s="1"/>
  <c r="F56" i="2"/>
  <c r="B36" i="8" s="1"/>
  <c r="G56" i="2"/>
  <c r="B34" i="9" s="1"/>
  <c r="H56" i="2"/>
  <c r="B32" i="11" s="1"/>
  <c r="I56" i="2"/>
  <c r="B33" i="12" s="1"/>
  <c r="J56" i="2"/>
  <c r="B31" i="13" s="1"/>
  <c r="K56" i="2"/>
  <c r="B38" i="14" s="1"/>
  <c r="B57" i="2"/>
  <c r="B62" i="4" s="1"/>
  <c r="C57" i="2"/>
  <c r="B60" i="5" s="1"/>
  <c r="D57" i="2"/>
  <c r="B61" i="6" s="1"/>
  <c r="E57" i="2"/>
  <c r="B60" i="7" s="1"/>
  <c r="F57" i="2"/>
  <c r="B60" i="8" s="1"/>
  <c r="G57" i="2"/>
  <c r="B59" i="9" s="1"/>
  <c r="H57" i="2"/>
  <c r="B64" i="11" s="1"/>
  <c r="I57" i="2"/>
  <c r="B64" i="12" s="1"/>
  <c r="J57" i="2"/>
  <c r="B69" i="13" s="1"/>
  <c r="K57" i="2"/>
  <c r="B77" i="14" s="1"/>
  <c r="B58" i="2"/>
  <c r="B41" i="4" s="1"/>
  <c r="C58" i="2"/>
  <c r="B38" i="5" s="1"/>
  <c r="D58" i="2"/>
  <c r="B38" i="6" s="1"/>
  <c r="E58" i="2"/>
  <c r="B39" i="7" s="1"/>
  <c r="F58" i="2"/>
  <c r="B37" i="8" s="1"/>
  <c r="G58" i="2"/>
  <c r="B42" i="9" s="1"/>
  <c r="H58" i="2"/>
  <c r="B45" i="11" s="1"/>
  <c r="I58" i="2"/>
  <c r="B36" i="12" s="1"/>
  <c r="J58" i="2"/>
  <c r="B51" i="13" s="1"/>
  <c r="K58" i="2"/>
  <c r="B62" i="14" s="1"/>
  <c r="B59" i="2"/>
  <c r="B36" i="4" s="1"/>
  <c r="C59" i="2"/>
  <c r="B31" i="5" s="1"/>
  <c r="D59" i="2"/>
  <c r="B42" i="6" s="1"/>
  <c r="E59" i="2"/>
  <c r="B42" i="7" s="1"/>
  <c r="F59" i="2"/>
  <c r="B51" i="8" s="1"/>
  <c r="G59" i="2"/>
  <c r="B52" i="9" s="1"/>
  <c r="H59" i="2"/>
  <c r="B62" i="11" s="1"/>
  <c r="I59" i="2"/>
  <c r="B67" i="12" s="1"/>
  <c r="J59" i="2"/>
  <c r="B73" i="13" s="1"/>
  <c r="K59" i="2"/>
  <c r="B81" i="14" s="1"/>
  <c r="B60" i="2"/>
  <c r="B34" i="4" s="1"/>
  <c r="C60" i="2"/>
  <c r="B26" i="5" s="1"/>
  <c r="D60" i="2"/>
  <c r="B27" i="6" s="1"/>
  <c r="E60" i="2"/>
  <c r="B29" i="7" s="1"/>
  <c r="F60" i="2"/>
  <c r="B33" i="8" s="1"/>
  <c r="G60" i="2"/>
  <c r="B36" i="9" s="1"/>
  <c r="H60" i="2"/>
  <c r="B37" i="11" s="1"/>
  <c r="I60" i="2"/>
  <c r="B40" i="12" s="1"/>
  <c r="J60" i="2"/>
  <c r="B41" i="13" s="1"/>
  <c r="K60" i="2"/>
  <c r="B59" i="14" s="1"/>
  <c r="B61" i="2"/>
  <c r="B10" i="4" s="1"/>
  <c r="C61" i="2"/>
  <c r="B12" i="5" s="1"/>
  <c r="D61" i="2"/>
  <c r="B20" i="6" s="1"/>
  <c r="E61" i="2"/>
  <c r="B19" i="7" s="1"/>
  <c r="F61" i="2"/>
  <c r="B30" i="8" s="1"/>
  <c r="G61" i="2"/>
  <c r="B37" i="9" s="1"/>
  <c r="H61" i="2"/>
  <c r="B35" i="11" s="1"/>
  <c r="I61" i="2"/>
  <c r="B39" i="12" s="1"/>
  <c r="J61" i="2"/>
  <c r="B42" i="13" s="1"/>
  <c r="K61" i="2"/>
  <c r="B53" i="14" s="1"/>
  <c r="B62" i="2"/>
  <c r="B5" i="4" s="1"/>
  <c r="C62" i="2"/>
  <c r="B5" i="5" s="1"/>
  <c r="D62" i="2"/>
  <c r="B7" i="6" s="1"/>
  <c r="E62" i="2"/>
  <c r="B6" i="7" s="1"/>
  <c r="F62" i="2"/>
  <c r="B5" i="8" s="1"/>
  <c r="G62" i="2"/>
  <c r="B11" i="9" s="1"/>
  <c r="H62" i="2"/>
  <c r="B13" i="11" s="1"/>
  <c r="I62" i="2"/>
  <c r="B15" i="12" s="1"/>
  <c r="J62" i="2"/>
  <c r="B24" i="13" s="1"/>
  <c r="K62" i="2"/>
  <c r="B31" i="14" s="1"/>
  <c r="B63" i="2"/>
  <c r="B13" i="4" s="1"/>
  <c r="C63" i="2"/>
  <c r="B21" i="5" s="1"/>
  <c r="D63" i="2"/>
  <c r="B24" i="6" s="1"/>
  <c r="E63" i="2"/>
  <c r="B26" i="7" s="1"/>
  <c r="F63" i="2"/>
  <c r="B25" i="8" s="1"/>
  <c r="G63" i="2"/>
  <c r="B31" i="9" s="1"/>
  <c r="H63" i="2"/>
  <c r="B33" i="11" s="1"/>
  <c r="I63" i="2"/>
  <c r="B44" i="12" s="1"/>
  <c r="J63" i="2"/>
  <c r="B56" i="13" s="1"/>
  <c r="K63" i="2"/>
  <c r="B63" i="14" s="1"/>
  <c r="B64" i="2"/>
  <c r="B73" i="4" s="1"/>
  <c r="C64" i="2"/>
  <c r="B79" i="5" s="1"/>
  <c r="D64" i="2"/>
  <c r="B80" i="6" s="1"/>
  <c r="E64" i="2"/>
  <c r="B88" i="7" s="1"/>
  <c r="F64" i="2"/>
  <c r="B90" i="8" s="1"/>
  <c r="G64" i="2"/>
  <c r="B83" i="9" s="1"/>
  <c r="H64" i="2"/>
  <c r="B84" i="11" s="1"/>
  <c r="I64" i="2"/>
  <c r="B86" i="12" s="1"/>
  <c r="J64" i="2"/>
  <c r="B88" i="13" s="1"/>
  <c r="K64" i="2"/>
  <c r="B94" i="14" s="1"/>
  <c r="B65" i="2"/>
  <c r="B12" i="4" s="1"/>
  <c r="C65" i="2"/>
  <c r="B17" i="5" s="1"/>
  <c r="D65" i="2"/>
  <c r="B15" i="6" s="1"/>
  <c r="E65" i="2"/>
  <c r="B21" i="7" s="1"/>
  <c r="F65" i="2"/>
  <c r="B20" i="8" s="1"/>
  <c r="G65" i="2"/>
  <c r="B26" i="9" s="1"/>
  <c r="H65" i="2"/>
  <c r="B38" i="11" s="1"/>
  <c r="I65" i="2"/>
  <c r="B49" i="12" s="1"/>
  <c r="J65" i="2"/>
  <c r="B59" i="13" s="1"/>
  <c r="K65" i="2"/>
  <c r="B73" i="14" s="1"/>
  <c r="B66" i="2"/>
  <c r="B8" i="4" s="1"/>
  <c r="C66" i="2"/>
  <c r="B9" i="5" s="1"/>
  <c r="D66" i="2"/>
  <c r="B8" i="6" s="1"/>
  <c r="E66" i="2"/>
  <c r="B8" i="7" s="1"/>
  <c r="F66" i="2"/>
  <c r="B12" i="8" s="1"/>
  <c r="G66" i="2"/>
  <c r="B14" i="9" s="1"/>
  <c r="H66" i="2"/>
  <c r="B20" i="11" s="1"/>
  <c r="I66" i="2"/>
  <c r="B31" i="12" s="1"/>
  <c r="J66" i="2"/>
  <c r="B35" i="13" s="1"/>
  <c r="K66" i="2"/>
  <c r="B55" i="14" s="1"/>
  <c r="B67" i="2"/>
  <c r="B25" i="4" s="1"/>
  <c r="C67" i="2"/>
  <c r="B37" i="5" s="1"/>
  <c r="D67" i="2"/>
  <c r="B40" i="6" s="1"/>
  <c r="E67" i="2"/>
  <c r="B44" i="7" s="1"/>
  <c r="F67" i="2"/>
  <c r="B52" i="8" s="1"/>
  <c r="G67" i="2"/>
  <c r="B48" i="9" s="1"/>
  <c r="H67" i="2"/>
  <c r="B51" i="11" s="1"/>
  <c r="I67" i="2"/>
  <c r="B60" i="12" s="1"/>
  <c r="J67" i="2"/>
  <c r="B63" i="13" s="1"/>
  <c r="K67" i="2"/>
  <c r="B69" i="14" s="1"/>
  <c r="B68" i="2"/>
  <c r="B26" i="4" s="1"/>
  <c r="C68" i="2"/>
  <c r="B36" i="5" s="1"/>
  <c r="D68" i="2"/>
  <c r="B35" i="6" s="1"/>
  <c r="E68" i="2"/>
  <c r="B40" i="7" s="1"/>
  <c r="F68" i="2"/>
  <c r="B41" i="8" s="1"/>
  <c r="G68" i="2"/>
  <c r="B43" i="9" s="1"/>
  <c r="H68" i="2"/>
  <c r="B44" i="11" s="1"/>
  <c r="I68" i="2"/>
  <c r="B47" i="12" s="1"/>
  <c r="J68" i="2"/>
  <c r="B55" i="13" s="1"/>
  <c r="K68" i="2"/>
  <c r="B61" i="14" s="1"/>
  <c r="B69" i="2"/>
  <c r="B20" i="4" s="1"/>
  <c r="C69" i="2"/>
  <c r="B27" i="5" s="1"/>
  <c r="D69" i="2"/>
  <c r="B22" i="6" s="1"/>
  <c r="E69" i="2"/>
  <c r="B24" i="7" s="1"/>
  <c r="F69" i="2"/>
  <c r="B29" i="8" s="1"/>
  <c r="G69" i="2"/>
  <c r="B27" i="9" s="1"/>
  <c r="H69" i="2"/>
  <c r="B22" i="11" s="1"/>
  <c r="I69" i="2"/>
  <c r="B25" i="12" s="1"/>
  <c r="J69" i="2"/>
  <c r="B28" i="13" s="1"/>
  <c r="K69" i="2"/>
  <c r="B26" i="14" s="1"/>
  <c r="B70" i="2"/>
  <c r="B11" i="4" s="1"/>
  <c r="C70" i="2"/>
  <c r="B15" i="5" s="1"/>
  <c r="D70" i="2"/>
  <c r="B19" i="6" s="1"/>
  <c r="E70" i="2"/>
  <c r="B14" i="7" s="1"/>
  <c r="F70" i="2"/>
  <c r="B17" i="8" s="1"/>
  <c r="G70" i="2"/>
  <c r="B18" i="9" s="1"/>
  <c r="H70" i="2"/>
  <c r="B11" i="11" s="1"/>
  <c r="I70" i="2"/>
  <c r="B22" i="12" s="1"/>
  <c r="J70" i="2"/>
  <c r="B17" i="13" s="1"/>
  <c r="K70" i="2"/>
  <c r="B17" i="14" s="1"/>
  <c r="B71" i="2"/>
  <c r="B18" i="4" s="1"/>
  <c r="C71" i="2"/>
  <c r="B24" i="5" s="1"/>
  <c r="D71" i="2"/>
  <c r="B23" i="6" s="1"/>
  <c r="E71" i="2"/>
  <c r="B22" i="7" s="1"/>
  <c r="F71" i="2"/>
  <c r="B27" i="8" s="1"/>
  <c r="G71" i="2"/>
  <c r="B22" i="9" s="1"/>
  <c r="H71" i="2"/>
  <c r="B26" i="11" s="1"/>
  <c r="I71" i="2"/>
  <c r="B27" i="12" s="1"/>
  <c r="J71" i="2"/>
  <c r="B25" i="13" s="1"/>
  <c r="K71" i="2"/>
  <c r="B28" i="14" s="1"/>
  <c r="B72" i="2"/>
  <c r="B7" i="4" s="1"/>
  <c r="C72" i="2"/>
  <c r="B13" i="5" s="1"/>
  <c r="D72" i="2"/>
  <c r="B17" i="6" s="1"/>
  <c r="E72" i="2"/>
  <c r="B13" i="7" s="1"/>
  <c r="F72" i="2"/>
  <c r="B11" i="8" s="1"/>
  <c r="G72" i="2"/>
  <c r="B15" i="9" s="1"/>
  <c r="H72" i="2"/>
  <c r="B16" i="11" s="1"/>
  <c r="I72" i="2"/>
  <c r="B16" i="12" s="1"/>
  <c r="J72" i="2"/>
  <c r="B16" i="13" s="1"/>
  <c r="K72" i="2"/>
  <c r="B8" i="14" s="1"/>
  <c r="B73" i="2"/>
  <c r="B27" i="4" s="1"/>
  <c r="C73" i="2"/>
  <c r="B29" i="5" s="1"/>
  <c r="D73" i="2"/>
  <c r="B32" i="6" s="1"/>
  <c r="E73" i="2"/>
  <c r="B34" i="7" s="1"/>
  <c r="F73" i="2"/>
  <c r="B34" i="8" s="1"/>
  <c r="G73" i="2"/>
  <c r="B32" i="9" s="1"/>
  <c r="H73" i="2"/>
  <c r="B30" i="11" s="1"/>
  <c r="I73" i="2"/>
  <c r="B34" i="12" s="1"/>
  <c r="J73" i="2"/>
  <c r="B33" i="13" s="1"/>
  <c r="K73" i="2"/>
  <c r="B44" i="14" s="1"/>
  <c r="B74" i="2"/>
  <c r="B30" i="4" s="1"/>
  <c r="C74" i="2"/>
  <c r="B33" i="5" s="1"/>
  <c r="D74" i="2"/>
  <c r="B41" i="6" s="1"/>
  <c r="E74" i="2"/>
  <c r="B45" i="7" s="1"/>
  <c r="F74" i="2"/>
  <c r="B48" i="8" s="1"/>
  <c r="G74" i="2"/>
  <c r="B51" i="9" s="1"/>
  <c r="H74" i="2"/>
  <c r="B49" i="11" s="1"/>
  <c r="I74" i="2"/>
  <c r="B56" i="12" s="1"/>
  <c r="J74" i="2"/>
  <c r="B65" i="13" s="1"/>
  <c r="K74" i="2"/>
  <c r="B79" i="14" s="1"/>
  <c r="B75" i="2"/>
  <c r="B57" i="4" s="1"/>
  <c r="C75" i="2"/>
  <c r="B63" i="5" s="1"/>
  <c r="D75" i="2"/>
  <c r="B72" i="6" s="1"/>
  <c r="E75" i="2"/>
  <c r="B74" i="7" s="1"/>
  <c r="F75" i="2"/>
  <c r="B79" i="8" s="1"/>
  <c r="G75" i="2"/>
  <c r="B81" i="9" s="1"/>
  <c r="H75" i="2"/>
  <c r="B78" i="11" s="1"/>
  <c r="I75" i="2"/>
  <c r="B78" i="12" s="1"/>
  <c r="J75" i="2"/>
  <c r="B80" i="13" s="1"/>
  <c r="K75" i="2"/>
  <c r="B84" i="14" s="1"/>
  <c r="B76" i="2"/>
  <c r="B31" i="4" s="1"/>
  <c r="C76" i="2"/>
  <c r="B42" i="5" s="1"/>
  <c r="D76" i="2"/>
  <c r="B45" i="6" s="1"/>
  <c r="E76" i="2"/>
  <c r="B49" i="7" s="1"/>
  <c r="F76" i="2"/>
  <c r="B68" i="8" s="1"/>
  <c r="G76" i="2"/>
  <c r="B65" i="9" s="1"/>
  <c r="H76" i="2"/>
  <c r="B55" i="11" s="1"/>
  <c r="I76" i="2"/>
  <c r="B68" i="12" s="1"/>
  <c r="J76" i="2"/>
  <c r="B74" i="13" s="1"/>
  <c r="K76" i="2"/>
  <c r="B80" i="14" s="1"/>
  <c r="B77" i="2"/>
  <c r="B84" i="4" s="1"/>
  <c r="C77" i="2"/>
  <c r="B86" i="5" s="1"/>
  <c r="D77" i="2"/>
  <c r="B89" i="6" s="1"/>
  <c r="E77" i="2"/>
  <c r="B90" i="7" s="1"/>
  <c r="F77" i="2"/>
  <c r="B92" i="8" s="1"/>
  <c r="G77" i="2"/>
  <c r="B91" i="9" s="1"/>
  <c r="H77" i="2"/>
  <c r="B94" i="11" s="1"/>
  <c r="I77" i="2"/>
  <c r="B95" i="12" s="1"/>
  <c r="J77" i="2"/>
  <c r="B92" i="13" s="1"/>
  <c r="K77" i="2"/>
  <c r="B90" i="14" s="1"/>
  <c r="B78" i="2"/>
  <c r="B39" i="4" s="1"/>
  <c r="C78" i="2"/>
  <c r="B59" i="5" s="1"/>
  <c r="D78" i="2"/>
  <c r="B77" i="6" s="1"/>
  <c r="E78" i="2"/>
  <c r="B82" i="7" s="1"/>
  <c r="F78" i="2"/>
  <c r="B84" i="8" s="1"/>
  <c r="G78" i="2"/>
  <c r="B84" i="9" s="1"/>
  <c r="H78" i="2"/>
  <c r="B81" i="11" s="1"/>
  <c r="I78" i="2"/>
  <c r="B85" i="12" s="1"/>
  <c r="J78" i="2"/>
  <c r="B83" i="13" s="1"/>
  <c r="K78" i="2"/>
  <c r="B87" i="14" s="1"/>
  <c r="B79" i="2"/>
  <c r="B47" i="4" s="1"/>
  <c r="C79" i="2"/>
  <c r="B78" i="5" s="1"/>
  <c r="D79" i="2"/>
  <c r="B86" i="6" s="1"/>
  <c r="E79" i="2"/>
  <c r="B85" i="7" s="1"/>
  <c r="F79" i="2"/>
  <c r="B86" i="8" s="1"/>
  <c r="G79" i="2"/>
  <c r="B87" i="9" s="1"/>
  <c r="H79" i="2"/>
  <c r="B87" i="11" s="1"/>
  <c r="I79" i="2"/>
  <c r="B89" i="12" s="1"/>
  <c r="J79" i="2"/>
  <c r="B89" i="13" s="1"/>
  <c r="K79" i="2"/>
  <c r="B95" i="14" s="1"/>
  <c r="B80" i="2"/>
  <c r="B37" i="4" s="1"/>
  <c r="C80" i="2"/>
  <c r="B69" i="5" s="1"/>
  <c r="D80" i="2"/>
  <c r="B71" i="6" s="1"/>
  <c r="E80" i="2"/>
  <c r="B69" i="7" s="1"/>
  <c r="F80" i="2"/>
  <c r="B74" i="8" s="1"/>
  <c r="G80" i="2"/>
  <c r="B69" i="9" s="1"/>
  <c r="H80" i="2"/>
  <c r="B71" i="11" s="1"/>
  <c r="I80" i="2"/>
  <c r="B77" i="12" s="1"/>
  <c r="J80" i="2"/>
  <c r="B72" i="13" s="1"/>
  <c r="K80" i="2"/>
  <c r="B70" i="14" s="1"/>
  <c r="B81" i="2"/>
  <c r="B48" i="4" s="1"/>
  <c r="C81" i="2"/>
  <c r="B70" i="5" s="1"/>
  <c r="D81" i="2"/>
  <c r="B68" i="6" s="1"/>
  <c r="E81" i="2"/>
  <c r="B66" i="7" s="1"/>
  <c r="F81" i="2"/>
  <c r="B66" i="8" s="1"/>
  <c r="G81" i="2"/>
  <c r="B50" i="9" s="1"/>
  <c r="H81" i="2"/>
  <c r="B47" i="11" s="1"/>
  <c r="I81" i="2"/>
  <c r="B52" i="12" s="1"/>
  <c r="J81" i="2"/>
  <c r="B37" i="13" s="1"/>
  <c r="K81" i="2"/>
  <c r="B35" i="14" s="1"/>
  <c r="B82" i="2"/>
  <c r="B29" i="4" s="1"/>
  <c r="C82" i="2"/>
  <c r="B56" i="5" s="1"/>
  <c r="D82" i="2"/>
  <c r="B59" i="6" s="1"/>
  <c r="E82" i="2"/>
  <c r="B57" i="7" s="1"/>
  <c r="F82" i="2"/>
  <c r="B54" i="8" s="1"/>
  <c r="G82" i="2"/>
  <c r="B38" i="9" s="1"/>
  <c r="H82" i="2"/>
  <c r="B34" i="11" s="1"/>
  <c r="I82" i="2"/>
  <c r="B35" i="12" s="1"/>
  <c r="J82" i="2"/>
  <c r="B40" i="13" s="1"/>
  <c r="K82" i="2"/>
  <c r="B27" i="14" s="1"/>
  <c r="B83" i="2"/>
  <c r="B43" i="4" s="1"/>
  <c r="C83" i="2"/>
  <c r="B62" i="5" s="1"/>
  <c r="D83" i="2"/>
  <c r="B63" i="6" s="1"/>
  <c r="E83" i="2"/>
  <c r="B62" i="7" s="1"/>
  <c r="F83" i="2"/>
  <c r="B63" i="8" s="1"/>
  <c r="G83" i="2"/>
  <c r="B41" i="9" s="1"/>
  <c r="H83" i="2"/>
  <c r="B41" i="11" s="1"/>
  <c r="I83" i="2"/>
  <c r="B42" i="12" s="1"/>
  <c r="J83" i="2"/>
  <c r="B34" i="13" s="1"/>
  <c r="K83" i="2"/>
  <c r="B24" i="14" s="1"/>
  <c r="B84" i="2"/>
  <c r="B52" i="4" s="1"/>
  <c r="C84" i="2"/>
  <c r="B73" i="5" s="1"/>
  <c r="D84" i="2"/>
  <c r="B73" i="6" s="1"/>
  <c r="E84" i="2"/>
  <c r="B71" i="7" s="1"/>
  <c r="F84" i="2"/>
  <c r="B69" i="8" s="1"/>
  <c r="G84" i="2"/>
  <c r="B63" i="9" s="1"/>
  <c r="H84" i="2"/>
  <c r="B60" i="11" s="1"/>
  <c r="I84" i="2"/>
  <c r="B69" i="12" s="1"/>
  <c r="J84" i="2"/>
  <c r="B75" i="13" s="1"/>
  <c r="K84" i="2"/>
  <c r="B64" i="14" s="1"/>
  <c r="B85" i="2"/>
  <c r="B95" i="4" s="1"/>
  <c r="C85" i="2"/>
  <c r="B100" i="5" s="1"/>
  <c r="D85" i="2"/>
  <c r="B100" i="6" s="1"/>
  <c r="E85" i="2"/>
  <c r="B100" i="7" s="1"/>
  <c r="F85" i="2"/>
  <c r="B100" i="8" s="1"/>
  <c r="G85" i="2"/>
  <c r="B99" i="9" s="1"/>
  <c r="H85" i="2"/>
  <c r="B100" i="11" s="1"/>
  <c r="I85" i="2"/>
  <c r="B99" i="12" s="1"/>
  <c r="J85" i="2"/>
  <c r="B99" i="13" s="1"/>
  <c r="K85" i="2"/>
  <c r="B100" i="14" s="1"/>
  <c r="B86" i="2"/>
  <c r="B90" i="4" s="1"/>
  <c r="C86" i="2"/>
  <c r="B96" i="5" s="1"/>
  <c r="D86" i="2"/>
  <c r="B96" i="6" s="1"/>
  <c r="E86" i="2"/>
  <c r="B97" i="7" s="1"/>
  <c r="F86" i="2"/>
  <c r="B97" i="8" s="1"/>
  <c r="G86" i="2"/>
  <c r="B94" i="9" s="1"/>
  <c r="H86" i="2"/>
  <c r="B95" i="11" s="1"/>
  <c r="I86" i="2"/>
  <c r="B96" i="12" s="1"/>
  <c r="J86" i="2"/>
  <c r="B94" i="13" s="1"/>
  <c r="K86" i="2"/>
  <c r="B92" i="14" s="1"/>
  <c r="B87" i="2"/>
  <c r="B77" i="4" s="1"/>
  <c r="C87" i="2"/>
  <c r="B87" i="5" s="1"/>
  <c r="D87" i="2"/>
  <c r="B87" i="6" s="1"/>
  <c r="E87" i="2"/>
  <c r="B84" i="7" s="1"/>
  <c r="F87" i="2"/>
  <c r="B83" i="8" s="1"/>
  <c r="G87" i="2"/>
  <c r="B82" i="9" s="1"/>
  <c r="H87" i="2"/>
  <c r="B80" i="11" s="1"/>
  <c r="I87" i="2"/>
  <c r="B83" i="12" s="1"/>
  <c r="J87" i="2"/>
  <c r="B81" i="13" s="1"/>
  <c r="K87" i="2"/>
  <c r="B72" i="14" s="1"/>
  <c r="B88" i="2"/>
  <c r="B86" i="4" s="1"/>
  <c r="C88" i="2"/>
  <c r="B94" i="5" s="1"/>
  <c r="D88" i="2"/>
  <c r="B95" i="6" s="1"/>
  <c r="E88" i="2"/>
  <c r="B94" i="7" s="1"/>
  <c r="F88" i="2"/>
  <c r="B93" i="8" s="1"/>
  <c r="G88" i="2"/>
  <c r="B93" i="9" s="1"/>
  <c r="H88" i="2"/>
  <c r="B90" i="11" s="1"/>
  <c r="I88" i="2"/>
  <c r="B91" i="12" s="1"/>
  <c r="J88" i="2"/>
  <c r="B90" i="13" s="1"/>
  <c r="K88" i="2"/>
  <c r="B85" i="14" s="1"/>
  <c r="B89" i="2"/>
  <c r="B60" i="4" s="1"/>
  <c r="C89" i="2"/>
  <c r="B67" i="5" s="1"/>
  <c r="D89" i="2"/>
  <c r="B66" i="6" s="1"/>
  <c r="E89" i="2"/>
  <c r="B63" i="7" s="1"/>
  <c r="F89" i="2"/>
  <c r="B64" i="8" s="1"/>
  <c r="G89" i="2"/>
  <c r="B67" i="9" s="1"/>
  <c r="H89" i="2"/>
  <c r="B65" i="11" s="1"/>
  <c r="I89" i="2"/>
  <c r="B63" i="12" s="1"/>
  <c r="J89" i="2"/>
  <c r="B52" i="13" s="1"/>
  <c r="K89" i="2"/>
  <c r="B45" i="14" s="1"/>
  <c r="B90" i="2"/>
  <c r="B50" i="4" s="1"/>
  <c r="C90" i="2"/>
  <c r="B52" i="5" s="1"/>
  <c r="D90" i="2"/>
  <c r="B52" i="6" s="1"/>
  <c r="E90" i="2"/>
  <c r="B52" i="7" s="1"/>
  <c r="F90" i="2"/>
  <c r="B50" i="8" s="1"/>
  <c r="G90" i="2"/>
  <c r="B49" i="9" s="1"/>
  <c r="H90" i="2"/>
  <c r="B48" i="11" s="1"/>
  <c r="I90" i="2"/>
  <c r="B46" i="12" s="1"/>
  <c r="J90" i="2"/>
  <c r="B38" i="13" s="1"/>
  <c r="K90" i="2"/>
  <c r="B32" i="14" s="1"/>
  <c r="B91" i="2"/>
  <c r="B66" i="4" s="1"/>
  <c r="C91" i="2"/>
  <c r="B66" i="5" s="1"/>
  <c r="D91" i="2"/>
  <c r="B65" i="6" s="1"/>
  <c r="E91" i="2"/>
  <c r="B61" i="7" s="1"/>
  <c r="F91" i="2"/>
  <c r="B55" i="8" s="1"/>
  <c r="G91" i="2"/>
  <c r="B58" i="9" s="1"/>
  <c r="H91" i="2"/>
  <c r="B53" i="11" s="1"/>
  <c r="I91" i="2"/>
  <c r="B45" i="12" s="1"/>
  <c r="J91" i="2"/>
  <c r="B44" i="13" s="1"/>
  <c r="K91" i="2"/>
  <c r="B40" i="14" s="1"/>
  <c r="B92" i="2"/>
  <c r="B56" i="4" s="1"/>
  <c r="C92" i="2"/>
  <c r="B64" i="5" s="1"/>
  <c r="D92" i="2"/>
  <c r="B64" i="6" s="1"/>
  <c r="E92" i="2"/>
  <c r="B65" i="7" s="1"/>
  <c r="F92" i="2"/>
  <c r="B67" i="8" s="1"/>
  <c r="G92" i="2"/>
  <c r="B66" i="9" s="1"/>
  <c r="H92" i="2"/>
  <c r="B58" i="11" s="1"/>
  <c r="I92" i="2"/>
  <c r="B66" i="12" s="1"/>
  <c r="J92" i="2"/>
  <c r="B64" i="13" s="1"/>
  <c r="K92" i="2"/>
  <c r="B66" i="14" s="1"/>
  <c r="B93" i="2"/>
  <c r="B64" i="4" s="1"/>
  <c r="C93" i="2"/>
  <c r="B71" i="5" s="1"/>
  <c r="D93" i="2"/>
  <c r="B70" i="6" s="1"/>
  <c r="E93" i="2"/>
  <c r="B72" i="7" s="1"/>
  <c r="F93" i="2"/>
  <c r="B73" i="8" s="1"/>
  <c r="G93" i="2"/>
  <c r="B72" i="9" s="1"/>
  <c r="H93" i="2"/>
  <c r="B70" i="11" s="1"/>
  <c r="I93" i="2"/>
  <c r="B71" i="12" s="1"/>
  <c r="J93" i="2"/>
  <c r="B61" i="13" s="1"/>
  <c r="K93" i="2"/>
  <c r="B48" i="14" s="1"/>
  <c r="B94" i="2"/>
  <c r="B40" i="4" s="1"/>
  <c r="C94" i="2"/>
  <c r="B45" i="5" s="1"/>
  <c r="D94" i="2"/>
  <c r="B43" i="6" s="1"/>
  <c r="E94" i="2"/>
  <c r="B41" i="7" s="1"/>
  <c r="F94" i="2"/>
  <c r="B38" i="8" s="1"/>
  <c r="G94" i="2"/>
  <c r="B33" i="9" s="1"/>
  <c r="H94" i="2"/>
  <c r="B24" i="11" s="1"/>
  <c r="I94" i="2"/>
  <c r="B14" i="12" s="1"/>
  <c r="J94" i="2"/>
  <c r="B10" i="13" s="1"/>
  <c r="K94" i="2"/>
  <c r="B6" i="14" s="1"/>
  <c r="B95" i="2"/>
  <c r="B63" i="4" s="1"/>
  <c r="C95" i="2"/>
  <c r="B65" i="5" s="1"/>
  <c r="D95" i="2"/>
  <c r="B69" i="6" s="1"/>
  <c r="E95" i="2"/>
  <c r="B68" i="7" s="1"/>
  <c r="F95" i="2"/>
  <c r="B72" i="8" s="1"/>
  <c r="G95" i="2"/>
  <c r="B74" i="9" s="1"/>
  <c r="H95" i="2"/>
  <c r="B74" i="11" s="1"/>
  <c r="I95" i="2"/>
  <c r="B75" i="12" s="1"/>
  <c r="J95" i="2"/>
  <c r="B71" i="13" s="1"/>
  <c r="K95" i="2"/>
  <c r="B76" i="14" s="1"/>
  <c r="B96" i="2"/>
  <c r="B55" i="4" s="1"/>
  <c r="C96" i="2"/>
  <c r="B61" i="5" s="1"/>
  <c r="D96" i="2"/>
  <c r="B62" i="6" s="1"/>
  <c r="E96" i="2"/>
  <c r="B64" i="7" s="1"/>
  <c r="F96" i="2"/>
  <c r="B65" i="8" s="1"/>
  <c r="G96" i="2"/>
  <c r="B68" i="9" s="1"/>
  <c r="H96" i="2"/>
  <c r="B59" i="11" s="1"/>
  <c r="I96" i="2"/>
  <c r="B55" i="12" s="1"/>
  <c r="J96" i="2"/>
  <c r="B50" i="13" s="1"/>
  <c r="K96" i="2"/>
  <c r="B49" i="14" s="1"/>
  <c r="B97" i="2"/>
  <c r="B97" i="4" s="1"/>
  <c r="C97" i="2"/>
  <c r="B98" i="5" s="1"/>
  <c r="D97" i="2"/>
  <c r="B98" i="6" s="1"/>
  <c r="E97" i="2"/>
  <c r="B98" i="7" s="1"/>
  <c r="F97" i="2"/>
  <c r="B99" i="8" s="1"/>
  <c r="G97" i="2"/>
  <c r="B98" i="9" s="1"/>
  <c r="H97" i="2"/>
  <c r="B98" i="11" s="1"/>
  <c r="I97" i="2"/>
  <c r="B98" i="12" s="1"/>
  <c r="J97" i="2"/>
  <c r="B97" i="13" s="1"/>
  <c r="K97" i="2"/>
  <c r="B97" i="14" s="1"/>
  <c r="B98" i="2"/>
  <c r="B82" i="4" s="1"/>
  <c r="C98" i="2"/>
  <c r="B85" i="5" s="1"/>
  <c r="D98" i="2"/>
  <c r="B83" i="6" s="1"/>
  <c r="E98" i="2"/>
  <c r="B79" i="7" s="1"/>
  <c r="F98" i="2"/>
  <c r="B78" i="8" s="1"/>
  <c r="G98" i="2"/>
  <c r="B77" i="9" s="1"/>
  <c r="H98" i="2"/>
  <c r="B77" i="11" s="1"/>
  <c r="I98" i="2"/>
  <c r="B70" i="12" s="1"/>
  <c r="J98" i="2"/>
  <c r="B62" i="13" s="1"/>
  <c r="K98" i="2"/>
  <c r="B56" i="14" s="1"/>
  <c r="B99" i="2"/>
  <c r="B76" i="4" s="1"/>
  <c r="C99" i="2"/>
  <c r="B89" i="5" s="1"/>
  <c r="D99" i="2"/>
  <c r="B90" i="6" s="1"/>
  <c r="E99" i="2"/>
  <c r="B91" i="7" s="1"/>
  <c r="F99" i="2"/>
  <c r="B88" i="8" s="1"/>
  <c r="G99" i="2"/>
  <c r="B92" i="9" s="1"/>
  <c r="H99" i="2"/>
  <c r="B89" i="11" s="1"/>
  <c r="I99" i="2"/>
  <c r="B90" i="12" s="1"/>
  <c r="J99" i="2"/>
  <c r="B91" i="13" s="1"/>
  <c r="K99" i="2"/>
  <c r="B91" i="14" s="1"/>
  <c r="B100" i="2"/>
  <c r="B71" i="4" s="1"/>
  <c r="C100" i="2"/>
  <c r="B77" i="5" s="1"/>
  <c r="D100" i="2"/>
  <c r="B76" i="6" s="1"/>
  <c r="E100" i="2"/>
  <c r="B76" i="7" s="1"/>
  <c r="F100" i="2"/>
  <c r="B77" i="8" s="1"/>
  <c r="G100" i="2"/>
  <c r="B76" i="9" s="1"/>
  <c r="H100" i="2"/>
  <c r="B76" i="11" s="1"/>
  <c r="I100" i="2"/>
  <c r="B76" i="12" s="1"/>
  <c r="J100" i="2"/>
  <c r="B66" i="13" s="1"/>
  <c r="K100" i="2"/>
  <c r="B54" i="14" s="1"/>
  <c r="B101" i="2"/>
  <c r="B78" i="4" s="1"/>
  <c r="C101" i="2"/>
  <c r="B80" i="5" s="1"/>
  <c r="D101" i="2"/>
  <c r="B78" i="6" s="1"/>
  <c r="E101" i="2"/>
  <c r="B78" i="7" s="1"/>
  <c r="F101" i="2"/>
  <c r="B76" i="8" s="1"/>
  <c r="G101" i="2"/>
  <c r="B75" i="9" s="1"/>
  <c r="H101" i="2"/>
  <c r="B67" i="11" s="1"/>
  <c r="I101" i="2"/>
  <c r="B58" i="12" s="1"/>
  <c r="J101" i="2"/>
  <c r="B47" i="13" s="1"/>
  <c r="K101" i="2"/>
  <c r="B58" i="14" s="1"/>
  <c r="B102" i="2"/>
  <c r="B83" i="4" s="1"/>
  <c r="C102" i="2"/>
  <c r="B81" i="5" s="1"/>
  <c r="D102" i="2"/>
  <c r="B81" i="6" s="1"/>
  <c r="E102" i="2"/>
  <c r="B83" i="7" s="1"/>
  <c r="F102" i="2"/>
  <c r="B82" i="8" s="1"/>
  <c r="G102" i="2"/>
  <c r="B85" i="9" s="1"/>
  <c r="H102" i="2"/>
  <c r="B83" i="11" s="1"/>
  <c r="I102" i="2"/>
  <c r="B82" i="12" s="1"/>
  <c r="J102" i="2"/>
  <c r="B78" i="13" s="1"/>
  <c r="K102" i="2"/>
  <c r="B83" i="14" s="1"/>
  <c r="C4" i="2"/>
  <c r="B39" i="5" s="1"/>
  <c r="D4" i="2"/>
  <c r="B37" i="6" s="1"/>
  <c r="E4" i="2"/>
  <c r="B25" i="7" s="1"/>
  <c r="F4" i="2"/>
  <c r="B15" i="8" s="1"/>
  <c r="G4" i="2"/>
  <c r="B23" i="9" s="1"/>
  <c r="H4" i="2"/>
  <c r="B19" i="11" s="1"/>
  <c r="I4" i="2"/>
  <c r="B18" i="12" s="1"/>
  <c r="J4" i="2"/>
  <c r="B21" i="13" s="1"/>
  <c r="K4" i="2"/>
  <c r="B10" i="14" s="1"/>
  <c r="B4" i="2"/>
  <c r="B68" i="4" s="1"/>
  <c r="A3" i="2" a="1"/>
  <c r="F3" i="2" l="1"/>
  <c r="C3" i="2"/>
  <c r="I3" i="2"/>
  <c r="E3" i="2"/>
  <c r="H3" i="2"/>
  <c r="K3" i="2"/>
  <c r="J3" i="2"/>
  <c r="G3" i="2"/>
  <c r="D3" i="2"/>
  <c r="B3" i="2"/>
  <c r="A43" i="2"/>
  <c r="A56" i="2"/>
  <c r="A67" i="2"/>
  <c r="A83" i="2"/>
  <c r="A92" i="2"/>
  <c r="A95" i="2"/>
  <c r="A3" i="2"/>
  <c r="A89" i="2"/>
  <c r="A88" i="2"/>
  <c r="A96" i="2"/>
  <c r="A87" i="2"/>
  <c r="A72" i="2"/>
  <c r="A64" i="2"/>
  <c r="A61" i="2"/>
  <c r="A60" i="2"/>
  <c r="A20" i="2"/>
  <c r="A27" i="2"/>
  <c r="A86" i="2"/>
  <c r="A79" i="2"/>
  <c r="A77" i="2"/>
  <c r="A75" i="2"/>
  <c r="A71" i="2"/>
  <c r="A69" i="2"/>
  <c r="A62" i="2"/>
  <c r="A55" i="2"/>
  <c r="A52" i="2"/>
  <c r="A39" i="2"/>
  <c r="A37" i="2"/>
  <c r="A33" i="2"/>
  <c r="A31" i="2"/>
  <c r="A30" i="2"/>
  <c r="A28" i="2"/>
  <c r="A25" i="2"/>
  <c r="A22" i="2"/>
  <c r="A18" i="2"/>
  <c r="A4" i="2"/>
  <c r="A7" i="2"/>
  <c r="A9" i="2"/>
  <c r="A10" i="2"/>
  <c r="A41" i="2"/>
  <c r="A16" i="2"/>
  <c r="A84" i="2"/>
  <c r="A68" i="2"/>
  <c r="A48" i="2"/>
  <c r="A46" i="2"/>
  <c r="A101" i="2"/>
  <c r="A100" i="2"/>
  <c r="A98" i="2"/>
  <c r="A94" i="2"/>
  <c r="A81" i="2"/>
  <c r="A76" i="2"/>
  <c r="A102" i="2"/>
  <c r="A99" i="2"/>
  <c r="A93" i="2"/>
  <c r="A91" i="2"/>
  <c r="A90" i="2"/>
  <c r="A85" i="2"/>
  <c r="A82" i="2"/>
  <c r="A80" i="2"/>
  <c r="A78" i="2"/>
  <c r="A74" i="2"/>
  <c r="A73" i="2"/>
  <c r="A65" i="2"/>
  <c r="A54" i="2"/>
  <c r="A53" i="2"/>
  <c r="A51" i="2"/>
  <c r="A49" i="2"/>
  <c r="A45" i="2"/>
  <c r="A44" i="2"/>
  <c r="A38" i="2"/>
  <c r="A34" i="2"/>
  <c r="A29" i="2"/>
  <c r="A70" i="2"/>
  <c r="A63" i="2"/>
  <c r="A58" i="2"/>
  <c r="A57" i="2"/>
  <c r="A50" i="2"/>
  <c r="A35" i="2"/>
  <c r="A32" i="2"/>
  <c r="A11" i="2"/>
  <c r="A47" i="2"/>
  <c r="A14" i="2"/>
  <c r="A12" i="2"/>
  <c r="A8" i="2"/>
  <c r="A5" i="2"/>
  <c r="A15" i="2"/>
  <c r="A17" i="2"/>
  <c r="A36" i="2"/>
  <c r="A40" i="2"/>
  <c r="A42" i="2"/>
  <c r="A59" i="2"/>
  <c r="A97" i="2"/>
  <c r="A6" i="2"/>
  <c r="A24" i="2"/>
  <c r="A26" i="2"/>
  <c r="A23" i="2"/>
  <c r="A21" i="2"/>
  <c r="A19" i="2"/>
  <c r="A13" i="2"/>
  <c r="A66" i="2"/>
</calcChain>
</file>

<file path=xl/sharedStrings.xml><?xml version="1.0" encoding="utf-8"?>
<sst xmlns="http://schemas.openxmlformats.org/spreadsheetml/2006/main" count="79" uniqueCount="32">
  <si>
    <t>Standard deviations by year for each decile</t>
  </si>
  <si>
    <t>Year</t>
  </si>
  <si>
    <t>Data Set: Portfolios Formed On Investment [Daily]</t>
  </si>
  <si>
    <t>Natural logarithms of each data point in the last sheet</t>
  </si>
  <si>
    <t>Rank</t>
  </si>
  <si>
    <t>Rank Proportion</t>
  </si>
  <si>
    <t>Rank-Based Z Scores</t>
  </si>
  <si>
    <t>Dec 2 Sorted</t>
  </si>
  <si>
    <t>Ln of Lo 10 Sorted</t>
  </si>
  <si>
    <t>Dec 3 Sorted</t>
  </si>
  <si>
    <t>Dec 4 Sorted</t>
  </si>
  <si>
    <t>Dec 5 Sorted</t>
  </si>
  <si>
    <t>Dec 6 Sorted</t>
  </si>
  <si>
    <t>Dec 7 Sorted</t>
  </si>
  <si>
    <t>Dec 8 Sorted</t>
  </si>
  <si>
    <t>Dec 9 Sorted</t>
  </si>
  <si>
    <t>Hi 10 Sorted</t>
  </si>
  <si>
    <t>This spreadsheet was made by Ender Dempsey under the mentorship of Andrey Sarantsev, Ph.D.</t>
  </si>
  <si>
    <t>The SDs by Year for Deciles sheet is the data that finds the standard deviations of the data from the Kenneth R French Observatory titled "Portfolios Formed on Size [Daily]"</t>
  </si>
  <si>
    <t>For all of the other sheets, I took the corresponding logarithms for the titular decile for each year and put them in the first column. These logarithms were soreted from low to high. Since we are testing for normality, the next columns were the ranking of the sorted logarithms, their ranking proportion, and their z-score. From this data, I made a Quantile-Quantile plot and added a linear fit line. Since the data is linear, it is log-normally distributed.</t>
  </si>
  <si>
    <t>The LNs sheet is the natural logarithms of all the values in the SDs by Year for Deciles sheet. This also includes a line graph of all the standard deviations for each decile for each year.</t>
  </si>
  <si>
    <t>Lo 10</t>
  </si>
  <si>
    <t>Decile 2</t>
  </si>
  <si>
    <t>Hi 10</t>
  </si>
  <si>
    <t>Decile 4</t>
  </si>
  <si>
    <t>Decile 3</t>
  </si>
  <si>
    <t>Decile 5</t>
  </si>
  <si>
    <t>Decile 6</t>
  </si>
  <si>
    <t>Decile 7</t>
  </si>
  <si>
    <t>Decile 8</t>
  </si>
  <si>
    <t>Decile 9</t>
  </si>
  <si>
    <t>The Correlation Matrix was done using the data from the LNs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</si>
</sst>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6"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Log of SDs</a:t>
            </a:r>
            <a:r>
              <a:rPr lang="en-US" baseline="0"/>
              <a:t> of </a:t>
            </a:r>
            <a:r>
              <a:rPr lang="en-US"/>
              <a:t>Each</a:t>
            </a:r>
            <a:r>
              <a:rPr lang="en-US" baseline="0"/>
              <a:t> Decile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Lo 10</c:v>
          </c:tx>
          <c:spPr>
            <a:ln w="19050" cap="rnd">
              <a:solidFill>
                <a:schemeClr val="accent1">
                  <a:alpha val="99000"/>
                </a:schemeClr>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LNs!$B$4:$B$100</c:f>
              <c:numCache>
                <c:formatCode>General</c:formatCode>
                <c:ptCount val="97"/>
                <c:pt idx="0">
                  <c:v>8.5581188090205845E-2</c:v>
                </c:pt>
                <c:pt idx="1">
                  <c:v>0.38622792092059149</c:v>
                </c:pt>
                <c:pt idx="2">
                  <c:v>0.60881947203587838</c:v>
                </c:pt>
                <c:pt idx="3">
                  <c:v>0.6644441620310394</c:v>
                </c:pt>
                <c:pt idx="4">
                  <c:v>0.78482805512350173</c:v>
                </c:pt>
                <c:pt idx="5">
                  <c:v>1.1145118841991208</c:v>
                </c:pt>
                <c:pt idx="6">
                  <c:v>1.2231958519335453</c:v>
                </c:pt>
                <c:pt idx="7">
                  <c:v>0.70390411671264597</c:v>
                </c:pt>
                <c:pt idx="8">
                  <c:v>0.61038494498699514</c:v>
                </c:pt>
                <c:pt idx="9">
                  <c:v>0.46494711660624294</c:v>
                </c:pt>
                <c:pt idx="10">
                  <c:v>1.0276675134559128</c:v>
                </c:pt>
                <c:pt idx="11">
                  <c:v>0.69196648381178283</c:v>
                </c:pt>
                <c:pt idx="12">
                  <c:v>1.1368485430418493</c:v>
                </c:pt>
                <c:pt idx="13">
                  <c:v>0.68673164495048022</c:v>
                </c:pt>
                <c:pt idx="14">
                  <c:v>0.42230911463305615</c:v>
                </c:pt>
                <c:pt idx="15">
                  <c:v>0.24807808585861763</c:v>
                </c:pt>
                <c:pt idx="16">
                  <c:v>0.59704368616479575</c:v>
                </c:pt>
                <c:pt idx="17">
                  <c:v>1.8291682472166292E-2</c:v>
                </c:pt>
                <c:pt idx="18">
                  <c:v>0.17733414028290767</c:v>
                </c:pt>
                <c:pt idx="19">
                  <c:v>0.53853806233252643</c:v>
                </c:pt>
                <c:pt idx="20">
                  <c:v>0.10713094751804886</c:v>
                </c:pt>
                <c:pt idx="21">
                  <c:v>5.9409766531432283E-2</c:v>
                </c:pt>
                <c:pt idx="22">
                  <c:v>-0.24666681660769854</c:v>
                </c:pt>
                <c:pt idx="23">
                  <c:v>0.10666366618821835</c:v>
                </c:pt>
                <c:pt idx="24">
                  <c:v>-0.25406420545523778</c:v>
                </c:pt>
                <c:pt idx="25">
                  <c:v>-0.93950562433092755</c:v>
                </c:pt>
                <c:pt idx="26">
                  <c:v>-0.58049729701530994</c:v>
                </c:pt>
                <c:pt idx="27">
                  <c:v>-0.62055864788424075</c:v>
                </c:pt>
                <c:pt idx="28">
                  <c:v>-0.33224159840463702</c:v>
                </c:pt>
                <c:pt idx="29">
                  <c:v>-0.8140320218454159</c:v>
                </c:pt>
                <c:pt idx="30">
                  <c:v>-0.41689518324308328</c:v>
                </c:pt>
                <c:pt idx="31">
                  <c:v>-0.61384074386737841</c:v>
                </c:pt>
                <c:pt idx="32">
                  <c:v>-0.60840721460565172</c:v>
                </c:pt>
                <c:pt idx="33">
                  <c:v>-0.64612619952008687</c:v>
                </c:pt>
                <c:pt idx="34">
                  <c:v>-0.66441784844724483</c:v>
                </c:pt>
                <c:pt idx="35">
                  <c:v>-7.7238559640826585E-2</c:v>
                </c:pt>
                <c:pt idx="36">
                  <c:v>-0.68339092794468081</c:v>
                </c:pt>
                <c:pt idx="37">
                  <c:v>-1.1478193397228051</c:v>
                </c:pt>
                <c:pt idx="38">
                  <c:v>-0.54990608008905451</c:v>
                </c:pt>
                <c:pt idx="39">
                  <c:v>-5.3320611164088524E-2</c:v>
                </c:pt>
                <c:pt idx="40">
                  <c:v>-0.27398957732012452</c:v>
                </c:pt>
                <c:pt idx="41">
                  <c:v>-0.10794941953490671</c:v>
                </c:pt>
                <c:pt idx="42">
                  <c:v>-2.4437170218552275E-2</c:v>
                </c:pt>
                <c:pt idx="43">
                  <c:v>0.2390090264237516</c:v>
                </c:pt>
                <c:pt idx="44">
                  <c:v>-5.2731169740292336E-2</c:v>
                </c:pt>
                <c:pt idx="45">
                  <c:v>-0.46696824070221421</c:v>
                </c:pt>
                <c:pt idx="46">
                  <c:v>-7.5383246508965815E-2</c:v>
                </c:pt>
                <c:pt idx="47">
                  <c:v>-0.24418972649565446</c:v>
                </c:pt>
                <c:pt idx="48">
                  <c:v>-0.42073814948523031</c:v>
                </c:pt>
                <c:pt idx="49">
                  <c:v>-0.64682291135486203</c:v>
                </c:pt>
                <c:pt idx="50">
                  <c:v>-1.0216901371770628</c:v>
                </c:pt>
                <c:pt idx="51">
                  <c:v>-0.20766644206790788</c:v>
                </c:pt>
                <c:pt idx="52">
                  <c:v>-0.38221841840942955</c:v>
                </c:pt>
                <c:pt idx="53">
                  <c:v>-1.3420655470072092E-2</c:v>
                </c:pt>
                <c:pt idx="54">
                  <c:v>-0.28282853660234986</c:v>
                </c:pt>
                <c:pt idx="55">
                  <c:v>-0.35146852091136344</c:v>
                </c:pt>
                <c:pt idx="56">
                  <c:v>-0.39712795892126285</c:v>
                </c:pt>
                <c:pt idx="57">
                  <c:v>-0.79497616165539009</c:v>
                </c:pt>
                <c:pt idx="58">
                  <c:v>-0.96812627851704747</c:v>
                </c:pt>
                <c:pt idx="59">
                  <c:v>-0.71334376544722722</c:v>
                </c:pt>
                <c:pt idx="60">
                  <c:v>0.20810300727944708</c:v>
                </c:pt>
                <c:pt idx="61">
                  <c:v>-0.74244037122599416</c:v>
                </c:pt>
                <c:pt idx="62">
                  <c:v>-0.82178542134476706</c:v>
                </c:pt>
                <c:pt idx="63">
                  <c:v>-0.53169181644737562</c:v>
                </c:pt>
                <c:pt idx="64">
                  <c:v>-0.52157991103886614</c:v>
                </c:pt>
                <c:pt idx="65">
                  <c:v>-0.61628058832841881</c:v>
                </c:pt>
                <c:pt idx="66">
                  <c:v>-0.76420718709915847</c:v>
                </c:pt>
                <c:pt idx="67">
                  <c:v>-0.64372483530670921</c:v>
                </c:pt>
                <c:pt idx="68">
                  <c:v>-0.83601805064656365</c:v>
                </c:pt>
                <c:pt idx="69">
                  <c:v>-0.49107201727915434</c:v>
                </c:pt>
                <c:pt idx="70">
                  <c:v>-0.44958001832921285</c:v>
                </c:pt>
                <c:pt idx="71">
                  <c:v>-5.6284678011233616E-2</c:v>
                </c:pt>
                <c:pt idx="72">
                  <c:v>-0.43266314415236662</c:v>
                </c:pt>
                <c:pt idx="73">
                  <c:v>0.53066942668503103</c:v>
                </c:pt>
                <c:pt idx="74">
                  <c:v>-0.31175484385006785</c:v>
                </c:pt>
                <c:pt idx="75">
                  <c:v>-0.22505788247744032</c:v>
                </c:pt>
                <c:pt idx="76">
                  <c:v>-0.3456855491391308</c:v>
                </c:pt>
                <c:pt idx="77">
                  <c:v>-0.2150935397760764</c:v>
                </c:pt>
                <c:pt idx="78">
                  <c:v>-0.45525059244441685</c:v>
                </c:pt>
                <c:pt idx="79">
                  <c:v>-0.25450522775722373</c:v>
                </c:pt>
                <c:pt idx="80">
                  <c:v>-7.8032895366691932E-2</c:v>
                </c:pt>
                <c:pt idx="81">
                  <c:v>0.76715014720078134</c:v>
                </c:pt>
                <c:pt idx="82">
                  <c:v>0.6261790436281528</c:v>
                </c:pt>
                <c:pt idx="83">
                  <c:v>0.32982159864587302</c:v>
                </c:pt>
                <c:pt idx="84">
                  <c:v>0.55836357567336936</c:v>
                </c:pt>
                <c:pt idx="85">
                  <c:v>-3.4445492688223001E-2</c:v>
                </c:pt>
                <c:pt idx="86">
                  <c:v>-0.18766661620690314</c:v>
                </c:pt>
                <c:pt idx="87">
                  <c:v>2.1565777914560585E-2</c:v>
                </c:pt>
                <c:pt idx="88">
                  <c:v>-6.2813077239083442E-2</c:v>
                </c:pt>
                <c:pt idx="89">
                  <c:v>-4.7844271401595966E-3</c:v>
                </c:pt>
                <c:pt idx="90">
                  <c:v>-0.28549247137878858</c:v>
                </c:pt>
                <c:pt idx="91">
                  <c:v>-9.8543954551155253E-3</c:v>
                </c:pt>
                <c:pt idx="92">
                  <c:v>-6.3753762474548378E-2</c:v>
                </c:pt>
                <c:pt idx="93">
                  <c:v>0.85715624924863132</c:v>
                </c:pt>
                <c:pt idx="94">
                  <c:v>0.50388559739632766</c:v>
                </c:pt>
                <c:pt idx="95">
                  <c:v>0.26014642225725998</c:v>
                </c:pt>
                <c:pt idx="96">
                  <c:v>0.13373512187031039</c:v>
                </c:pt>
              </c:numCache>
            </c:numRef>
          </c:yVal>
          <c:smooth val="0"/>
          <c:extLst>
            <c:ext xmlns:c16="http://schemas.microsoft.com/office/drawing/2014/chart" uri="{C3380CC4-5D6E-409C-BE32-E72D297353CC}">
              <c16:uniqueId val="{00000000-D21A-4952-83BD-42E3DD11130C}"/>
            </c:ext>
          </c:extLst>
        </c:ser>
        <c:ser>
          <c:idx val="1"/>
          <c:order val="1"/>
          <c:tx>
            <c:v>2-Dec</c:v>
          </c:tx>
          <c:spPr>
            <a:ln w="19050" cap="rnd">
              <a:solidFill>
                <a:schemeClr val="accent2"/>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LNs!$C$4:$C$100</c:f>
              <c:numCache>
                <c:formatCode>General</c:formatCode>
                <c:ptCount val="97"/>
                <c:pt idx="0">
                  <c:v>-0.22273113636894554</c:v>
                </c:pt>
                <c:pt idx="1">
                  <c:v>0.19780933293885997</c:v>
                </c:pt>
                <c:pt idx="2">
                  <c:v>0.4957992917893474</c:v>
                </c:pt>
                <c:pt idx="3">
                  <c:v>0.57123375156105072</c:v>
                </c:pt>
                <c:pt idx="4">
                  <c:v>0.80522061408225032</c:v>
                </c:pt>
                <c:pt idx="5">
                  <c:v>1.059070724047501</c:v>
                </c:pt>
                <c:pt idx="6">
                  <c:v>1.2376464300284662</c:v>
                </c:pt>
                <c:pt idx="7">
                  <c:v>0.70682816761580947</c:v>
                </c:pt>
                <c:pt idx="8">
                  <c:v>0.49144706653938713</c:v>
                </c:pt>
                <c:pt idx="9">
                  <c:v>0.30957809530100044</c:v>
                </c:pt>
                <c:pt idx="10">
                  <c:v>0.96021191893208324</c:v>
                </c:pt>
                <c:pt idx="11">
                  <c:v>0.79253087052646387</c:v>
                </c:pt>
                <c:pt idx="12">
                  <c:v>0.93684993563926411</c:v>
                </c:pt>
                <c:pt idx="13">
                  <c:v>0.64681524247545641</c:v>
                </c:pt>
                <c:pt idx="14">
                  <c:v>0.29635683764161586</c:v>
                </c:pt>
                <c:pt idx="15">
                  <c:v>-0.10150130533210587</c:v>
                </c:pt>
                <c:pt idx="16">
                  <c:v>0.30932124755526214</c:v>
                </c:pt>
                <c:pt idx="17">
                  <c:v>-0.2163044910914565</c:v>
                </c:pt>
                <c:pt idx="18">
                  <c:v>-7.0152114578230063E-2</c:v>
                </c:pt>
                <c:pt idx="19">
                  <c:v>0.49301189729465528</c:v>
                </c:pt>
                <c:pt idx="20">
                  <c:v>5.2677835468045303E-2</c:v>
                </c:pt>
                <c:pt idx="21">
                  <c:v>4.6425465710644195E-2</c:v>
                </c:pt>
                <c:pt idx="22">
                  <c:v>-0.25545111544262056</c:v>
                </c:pt>
                <c:pt idx="23">
                  <c:v>2.8120875716654753E-2</c:v>
                </c:pt>
                <c:pt idx="24">
                  <c:v>-0.3253742477478333</c:v>
                </c:pt>
                <c:pt idx="25">
                  <c:v>-0.90846146075982193</c:v>
                </c:pt>
                <c:pt idx="26">
                  <c:v>-0.51530396993898264</c:v>
                </c:pt>
                <c:pt idx="27">
                  <c:v>-0.69744038318003265</c:v>
                </c:pt>
                <c:pt idx="28">
                  <c:v>-0.29169410992164113</c:v>
                </c:pt>
                <c:pt idx="29">
                  <c:v>-0.7357060993268093</c:v>
                </c:pt>
                <c:pt idx="30">
                  <c:v>-0.50255822640311931</c:v>
                </c:pt>
                <c:pt idx="31">
                  <c:v>-0.74398794577532112</c:v>
                </c:pt>
                <c:pt idx="32">
                  <c:v>-0.56555111720541351</c:v>
                </c:pt>
                <c:pt idx="33">
                  <c:v>-0.62768908236299048</c:v>
                </c:pt>
                <c:pt idx="34">
                  <c:v>-0.67848322384128557</c:v>
                </c:pt>
                <c:pt idx="35">
                  <c:v>-3.7970854552054956E-2</c:v>
                </c:pt>
                <c:pt idx="36">
                  <c:v>-0.59708819027508897</c:v>
                </c:pt>
                <c:pt idx="37">
                  <c:v>-1.0432040721971021</c:v>
                </c:pt>
                <c:pt idx="38">
                  <c:v>-0.54377245891477166</c:v>
                </c:pt>
                <c:pt idx="39">
                  <c:v>-5.3300570777434969E-2</c:v>
                </c:pt>
                <c:pt idx="40">
                  <c:v>-0.26332512594706475</c:v>
                </c:pt>
                <c:pt idx="41">
                  <c:v>-0.15100313853656253</c:v>
                </c:pt>
                <c:pt idx="42">
                  <c:v>-3.2053260818063777E-2</c:v>
                </c:pt>
                <c:pt idx="43">
                  <c:v>0.25815541969343636</c:v>
                </c:pt>
                <c:pt idx="44">
                  <c:v>-9.4915257796287678E-2</c:v>
                </c:pt>
                <c:pt idx="45">
                  <c:v>-0.47845040300759123</c:v>
                </c:pt>
                <c:pt idx="46">
                  <c:v>3.0257587160697031E-2</c:v>
                </c:pt>
                <c:pt idx="47">
                  <c:v>-1.2181898950123707E-2</c:v>
                </c:pt>
                <c:pt idx="48">
                  <c:v>-0.1955381119550092</c:v>
                </c:pt>
                <c:pt idx="49">
                  <c:v>-0.52697194350869503</c:v>
                </c:pt>
                <c:pt idx="50">
                  <c:v>-0.82028988154672766</c:v>
                </c:pt>
                <c:pt idx="51">
                  <c:v>-0.12943465287685868</c:v>
                </c:pt>
                <c:pt idx="52">
                  <c:v>-0.241560863602471</c:v>
                </c:pt>
                <c:pt idx="53">
                  <c:v>9.1712807923199441E-2</c:v>
                </c:pt>
                <c:pt idx="54">
                  <c:v>-0.22348736040978412</c:v>
                </c:pt>
                <c:pt idx="55">
                  <c:v>-0.26531150331231129</c:v>
                </c:pt>
                <c:pt idx="56">
                  <c:v>-0.42367745057783202</c:v>
                </c:pt>
                <c:pt idx="57">
                  <c:v>-0.65544107538491403</c:v>
                </c:pt>
                <c:pt idx="58">
                  <c:v>-0.8597355555009023</c:v>
                </c:pt>
                <c:pt idx="59">
                  <c:v>-0.52127839748910676</c:v>
                </c:pt>
                <c:pt idx="60">
                  <c:v>0.38768124174223734</c:v>
                </c:pt>
                <c:pt idx="61">
                  <c:v>-0.58904665836059089</c:v>
                </c:pt>
                <c:pt idx="62">
                  <c:v>-0.70498294773161518</c:v>
                </c:pt>
                <c:pt idx="63">
                  <c:v>-0.23512630864754366</c:v>
                </c:pt>
                <c:pt idx="64">
                  <c:v>-0.24149338442709187</c:v>
                </c:pt>
                <c:pt idx="65">
                  <c:v>-0.38390813821830166</c:v>
                </c:pt>
                <c:pt idx="66">
                  <c:v>-0.60631465289623621</c:v>
                </c:pt>
                <c:pt idx="67">
                  <c:v>-0.50036882053154863</c:v>
                </c:pt>
                <c:pt idx="68">
                  <c:v>-0.64005770028054187</c:v>
                </c:pt>
                <c:pt idx="69">
                  <c:v>-0.30148354276546119</c:v>
                </c:pt>
                <c:pt idx="70">
                  <c:v>-0.25769100119240496</c:v>
                </c:pt>
                <c:pt idx="71">
                  <c:v>0.13889199886661865</c:v>
                </c:pt>
                <c:pt idx="72">
                  <c:v>-0.15575129345941235</c:v>
                </c:pt>
                <c:pt idx="73">
                  <c:v>0.53986195944856175</c:v>
                </c:pt>
                <c:pt idx="74">
                  <c:v>9.0023502647588557E-2</c:v>
                </c:pt>
                <c:pt idx="75">
                  <c:v>0.37262506180177329</c:v>
                </c:pt>
                <c:pt idx="76">
                  <c:v>0.20491440544658912</c:v>
                </c:pt>
                <c:pt idx="77">
                  <c:v>0.20904462693470807</c:v>
                </c:pt>
                <c:pt idx="78">
                  <c:v>4.3902046287128751E-2</c:v>
                </c:pt>
                <c:pt idx="79">
                  <c:v>0.13486300563425319</c:v>
                </c:pt>
                <c:pt idx="80">
                  <c:v>0.28162375786781696</c:v>
                </c:pt>
                <c:pt idx="81">
                  <c:v>1.0973147806017989</c:v>
                </c:pt>
                <c:pt idx="82">
                  <c:v>0.95228702138713761</c:v>
                </c:pt>
                <c:pt idx="83">
                  <c:v>0.56354520052908474</c:v>
                </c:pt>
                <c:pt idx="84">
                  <c:v>0.80784546325440454</c:v>
                </c:pt>
                <c:pt idx="85">
                  <c:v>0.18409498334309626</c:v>
                </c:pt>
                <c:pt idx="86">
                  <c:v>-2.1634343865151645E-2</c:v>
                </c:pt>
                <c:pt idx="87">
                  <c:v>0.16823108403526271</c:v>
                </c:pt>
                <c:pt idx="88">
                  <c:v>0.14355474061385484</c:v>
                </c:pt>
                <c:pt idx="89">
                  <c:v>0.22839374489633771</c:v>
                </c:pt>
                <c:pt idx="90">
                  <c:v>-0.12412434935361898</c:v>
                </c:pt>
                <c:pt idx="91">
                  <c:v>0.15506169329986921</c:v>
                </c:pt>
                <c:pt idx="92">
                  <c:v>0.11060175632779577</c:v>
                </c:pt>
                <c:pt idx="93">
                  <c:v>0.96301399957921918</c:v>
                </c:pt>
                <c:pt idx="94">
                  <c:v>0.50590754984202291</c:v>
                </c:pt>
                <c:pt idx="95">
                  <c:v>0.57594460140608594</c:v>
                </c:pt>
                <c:pt idx="96">
                  <c:v>0.36437918987422074</c:v>
                </c:pt>
              </c:numCache>
            </c:numRef>
          </c:yVal>
          <c:smooth val="0"/>
          <c:extLst>
            <c:ext xmlns:c16="http://schemas.microsoft.com/office/drawing/2014/chart" uri="{C3380CC4-5D6E-409C-BE32-E72D297353CC}">
              <c16:uniqueId val="{00000001-D21A-4952-83BD-42E3DD11130C}"/>
            </c:ext>
          </c:extLst>
        </c:ser>
        <c:ser>
          <c:idx val="2"/>
          <c:order val="2"/>
          <c:tx>
            <c:v>3-Dec</c:v>
          </c:tx>
          <c:spPr>
            <a:ln w="19050" cap="rnd">
              <a:solidFill>
                <a:schemeClr val="accent3"/>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LNs!$D$4:$D$100</c:f>
              <c:numCache>
                <c:formatCode>General</c:formatCode>
                <c:ptCount val="97"/>
                <c:pt idx="0">
                  <c:v>-0.23829526091496928</c:v>
                </c:pt>
                <c:pt idx="1">
                  <c:v>2.2583072000257977E-2</c:v>
                </c:pt>
                <c:pt idx="2">
                  <c:v>0.53187453295369802</c:v>
                </c:pt>
                <c:pt idx="3">
                  <c:v>0.4371252608360332</c:v>
                </c:pt>
                <c:pt idx="4">
                  <c:v>0.6870385608755365</c:v>
                </c:pt>
                <c:pt idx="5">
                  <c:v>0.98496568616412272</c:v>
                </c:pt>
                <c:pt idx="6">
                  <c:v>1.1992446441726439</c:v>
                </c:pt>
                <c:pt idx="7">
                  <c:v>0.61397950659938505</c:v>
                </c:pt>
                <c:pt idx="8">
                  <c:v>0.36399707161439271</c:v>
                </c:pt>
                <c:pt idx="9">
                  <c:v>0.24901400656086586</c:v>
                </c:pt>
                <c:pt idx="10">
                  <c:v>0.84238150919921617</c:v>
                </c:pt>
                <c:pt idx="11">
                  <c:v>0.74537428880758594</c:v>
                </c:pt>
                <c:pt idx="12">
                  <c:v>0.7325553761372986</c:v>
                </c:pt>
                <c:pt idx="13">
                  <c:v>0.45480750072377757</c:v>
                </c:pt>
                <c:pt idx="14">
                  <c:v>7.0486422251192213E-2</c:v>
                </c:pt>
                <c:pt idx="15">
                  <c:v>-0.42446904444290218</c:v>
                </c:pt>
                <c:pt idx="16">
                  <c:v>0.14837690074101711</c:v>
                </c:pt>
                <c:pt idx="17">
                  <c:v>-0.2535808518223831</c:v>
                </c:pt>
                <c:pt idx="18">
                  <c:v>-3.8628568505532854E-2</c:v>
                </c:pt>
                <c:pt idx="19">
                  <c:v>0.45848757328448797</c:v>
                </c:pt>
                <c:pt idx="20">
                  <c:v>-2.1783709280506552E-3</c:v>
                </c:pt>
                <c:pt idx="21">
                  <c:v>4.0969183687398152E-2</c:v>
                </c:pt>
                <c:pt idx="22">
                  <c:v>-0.29907472294803272</c:v>
                </c:pt>
                <c:pt idx="23">
                  <c:v>-2.9637895369323351E-2</c:v>
                </c:pt>
                <c:pt idx="24">
                  <c:v>-0.31667157011126923</c:v>
                </c:pt>
                <c:pt idx="25">
                  <c:v>-0.92986748023806032</c:v>
                </c:pt>
                <c:pt idx="26">
                  <c:v>-0.49580073156038379</c:v>
                </c:pt>
                <c:pt idx="27">
                  <c:v>-0.72093778698150823</c:v>
                </c:pt>
                <c:pt idx="28">
                  <c:v>-0.25472194155138878</c:v>
                </c:pt>
                <c:pt idx="29">
                  <c:v>-0.64069515775753438</c:v>
                </c:pt>
                <c:pt idx="30">
                  <c:v>-0.34194397933873821</c:v>
                </c:pt>
                <c:pt idx="31">
                  <c:v>-0.62779773830779528</c:v>
                </c:pt>
                <c:pt idx="32">
                  <c:v>-0.57576956040665561</c:v>
                </c:pt>
                <c:pt idx="33">
                  <c:v>-0.56585219395320663</c:v>
                </c:pt>
                <c:pt idx="34">
                  <c:v>-0.60797549476491031</c:v>
                </c:pt>
                <c:pt idx="35">
                  <c:v>3.9076471981792843E-2</c:v>
                </c:pt>
                <c:pt idx="36">
                  <c:v>-0.5804311829076968</c:v>
                </c:pt>
                <c:pt idx="37">
                  <c:v>-1.0109696109906989</c:v>
                </c:pt>
                <c:pt idx="38">
                  <c:v>-0.58416363600468324</c:v>
                </c:pt>
                <c:pt idx="39">
                  <c:v>-0.10016404075100878</c:v>
                </c:pt>
                <c:pt idx="40">
                  <c:v>-0.32777655389608351</c:v>
                </c:pt>
                <c:pt idx="41">
                  <c:v>-0.23914590879171554</c:v>
                </c:pt>
                <c:pt idx="42">
                  <c:v>-0.10093698059804704</c:v>
                </c:pt>
                <c:pt idx="43">
                  <c:v>0.27232982749710904</c:v>
                </c:pt>
                <c:pt idx="44">
                  <c:v>-0.11713287205854826</c:v>
                </c:pt>
                <c:pt idx="45">
                  <c:v>-0.55092218703069262</c:v>
                </c:pt>
                <c:pt idx="46">
                  <c:v>3.0635891875102302E-2</c:v>
                </c:pt>
                <c:pt idx="47">
                  <c:v>2.6417952603216673E-2</c:v>
                </c:pt>
                <c:pt idx="48">
                  <c:v>-0.16341226958370392</c:v>
                </c:pt>
                <c:pt idx="49">
                  <c:v>-0.43587431684283123</c:v>
                </c:pt>
                <c:pt idx="50">
                  <c:v>-0.72089049180303721</c:v>
                </c:pt>
                <c:pt idx="51">
                  <c:v>-9.9217202286361647E-2</c:v>
                </c:pt>
                <c:pt idx="52">
                  <c:v>-0.20573226137959572</c:v>
                </c:pt>
                <c:pt idx="53">
                  <c:v>8.4111342618652427E-2</c:v>
                </c:pt>
                <c:pt idx="54">
                  <c:v>-0.21354229128016164</c:v>
                </c:pt>
                <c:pt idx="55">
                  <c:v>-0.18837624950834575</c:v>
                </c:pt>
                <c:pt idx="56">
                  <c:v>-0.42005756196121502</c:v>
                </c:pt>
                <c:pt idx="57">
                  <c:v>-0.51470982418173861</c:v>
                </c:pt>
                <c:pt idx="58">
                  <c:v>-0.70422835057076283</c:v>
                </c:pt>
                <c:pt idx="59">
                  <c:v>-0.4366988422653561</c:v>
                </c:pt>
                <c:pt idx="60">
                  <c:v>0.39277830318942408</c:v>
                </c:pt>
                <c:pt idx="61">
                  <c:v>-0.56777170720845715</c:v>
                </c:pt>
                <c:pt idx="62">
                  <c:v>-0.66427987948615563</c:v>
                </c:pt>
                <c:pt idx="63">
                  <c:v>-0.20226429790561654</c:v>
                </c:pt>
                <c:pt idx="64">
                  <c:v>-0.24047919910820015</c:v>
                </c:pt>
                <c:pt idx="65">
                  <c:v>-0.45587826361580691</c:v>
                </c:pt>
                <c:pt idx="66">
                  <c:v>-0.52820409171216876</c:v>
                </c:pt>
                <c:pt idx="67">
                  <c:v>-0.44934176335764831</c:v>
                </c:pt>
                <c:pt idx="68">
                  <c:v>-0.56525189096702455</c:v>
                </c:pt>
                <c:pt idx="69">
                  <c:v>-0.28294265458985707</c:v>
                </c:pt>
                <c:pt idx="70">
                  <c:v>-0.19849972040144978</c:v>
                </c:pt>
                <c:pt idx="71">
                  <c:v>0.21626394096931148</c:v>
                </c:pt>
                <c:pt idx="72">
                  <c:v>-0.12482993180833976</c:v>
                </c:pt>
                <c:pt idx="73">
                  <c:v>0.54776296277279923</c:v>
                </c:pt>
                <c:pt idx="74">
                  <c:v>0.32347383654983841</c:v>
                </c:pt>
                <c:pt idx="75">
                  <c:v>0.47858544985835488</c:v>
                </c:pt>
                <c:pt idx="76">
                  <c:v>0.20442545570088086</c:v>
                </c:pt>
                <c:pt idx="77">
                  <c:v>0.16434426256329229</c:v>
                </c:pt>
                <c:pt idx="78">
                  <c:v>6.0888116510423473E-2</c:v>
                </c:pt>
                <c:pt idx="79">
                  <c:v>0.10834306343697876</c:v>
                </c:pt>
                <c:pt idx="80">
                  <c:v>0.24567969405249993</c:v>
                </c:pt>
                <c:pt idx="81">
                  <c:v>1.0297372673794081</c:v>
                </c:pt>
                <c:pt idx="82">
                  <c:v>0.832326344457058</c:v>
                </c:pt>
                <c:pt idx="83">
                  <c:v>0.49992037712583343</c:v>
                </c:pt>
                <c:pt idx="84">
                  <c:v>0.75033531618041971</c:v>
                </c:pt>
                <c:pt idx="85">
                  <c:v>0.13016824357339396</c:v>
                </c:pt>
                <c:pt idx="86">
                  <c:v>-2.180092255889552E-2</c:v>
                </c:pt>
                <c:pt idx="87">
                  <c:v>0.1292723357041391</c:v>
                </c:pt>
                <c:pt idx="88">
                  <c:v>0.11047640714061063</c:v>
                </c:pt>
                <c:pt idx="89">
                  <c:v>0.20013691666395611</c:v>
                </c:pt>
                <c:pt idx="90">
                  <c:v>-0.18293534512347795</c:v>
                </c:pt>
                <c:pt idx="91">
                  <c:v>0.17899101669749873</c:v>
                </c:pt>
                <c:pt idx="92">
                  <c:v>0.10089455809822551</c:v>
                </c:pt>
                <c:pt idx="93">
                  <c:v>0.96587676972828007</c:v>
                </c:pt>
                <c:pt idx="94">
                  <c:v>0.44324889193691597</c:v>
                </c:pt>
                <c:pt idx="95">
                  <c:v>0.60931438289404538</c:v>
                </c:pt>
                <c:pt idx="96">
                  <c:v>0.31711465313548659</c:v>
                </c:pt>
              </c:numCache>
            </c:numRef>
          </c:yVal>
          <c:smooth val="0"/>
          <c:extLst>
            <c:ext xmlns:c16="http://schemas.microsoft.com/office/drawing/2014/chart" uri="{C3380CC4-5D6E-409C-BE32-E72D297353CC}">
              <c16:uniqueId val="{00000002-D21A-4952-83BD-42E3DD11130C}"/>
            </c:ext>
          </c:extLst>
        </c:ser>
        <c:ser>
          <c:idx val="3"/>
          <c:order val="3"/>
          <c:tx>
            <c:v>4-Dec</c:v>
          </c:tx>
          <c:spPr>
            <a:ln w="19050" cap="rnd">
              <a:solidFill>
                <a:schemeClr val="accent4"/>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LNs!$E$4:$E$100</c:f>
              <c:numCache>
                <c:formatCode>General</c:formatCode>
                <c:ptCount val="97"/>
                <c:pt idx="0">
                  <c:v>-0.41171962689605546</c:v>
                </c:pt>
                <c:pt idx="1">
                  <c:v>-0.11655853566259709</c:v>
                </c:pt>
                <c:pt idx="2">
                  <c:v>0.48433790092888779</c:v>
                </c:pt>
                <c:pt idx="3">
                  <c:v>0.2689349379270729</c:v>
                </c:pt>
                <c:pt idx="4">
                  <c:v>0.50502080837761887</c:v>
                </c:pt>
                <c:pt idx="5">
                  <c:v>0.94481987798812872</c:v>
                </c:pt>
                <c:pt idx="6">
                  <c:v>1.1832168827891549</c:v>
                </c:pt>
                <c:pt idx="7">
                  <c:v>0.62359879766224013</c:v>
                </c:pt>
                <c:pt idx="8">
                  <c:v>0.34613256786137242</c:v>
                </c:pt>
                <c:pt idx="9">
                  <c:v>0.2879045477023271</c:v>
                </c:pt>
                <c:pt idx="10">
                  <c:v>0.75491937895254635</c:v>
                </c:pt>
                <c:pt idx="11">
                  <c:v>0.65373564920202831</c:v>
                </c:pt>
                <c:pt idx="12">
                  <c:v>0.74534581500348374</c:v>
                </c:pt>
                <c:pt idx="13">
                  <c:v>0.53178052811237941</c:v>
                </c:pt>
                <c:pt idx="14">
                  <c:v>0.17732576524888419</c:v>
                </c:pt>
                <c:pt idx="15">
                  <c:v>-0.25917495572371307</c:v>
                </c:pt>
                <c:pt idx="16">
                  <c:v>0.14471487372638192</c:v>
                </c:pt>
                <c:pt idx="17">
                  <c:v>-0.36318034395724308</c:v>
                </c:pt>
                <c:pt idx="18">
                  <c:v>-9.9520932593857123E-2</c:v>
                </c:pt>
                <c:pt idx="19">
                  <c:v>0.3595886948406376</c:v>
                </c:pt>
                <c:pt idx="20">
                  <c:v>-7.1043901984146646E-2</c:v>
                </c:pt>
                <c:pt idx="21">
                  <c:v>-0.12621876659530623</c:v>
                </c:pt>
                <c:pt idx="22">
                  <c:v>-0.39014161481931753</c:v>
                </c:pt>
                <c:pt idx="23">
                  <c:v>-4.9996241188009875E-2</c:v>
                </c:pt>
                <c:pt idx="24">
                  <c:v>-0.38403292690350649</c:v>
                </c:pt>
                <c:pt idx="25">
                  <c:v>-0.94537202314221325</c:v>
                </c:pt>
                <c:pt idx="26">
                  <c:v>-0.53002543279361813</c:v>
                </c:pt>
                <c:pt idx="27">
                  <c:v>-0.73768649241765161</c:v>
                </c:pt>
                <c:pt idx="28">
                  <c:v>-0.29736345280870963</c:v>
                </c:pt>
                <c:pt idx="29">
                  <c:v>-0.62397192570585147</c:v>
                </c:pt>
                <c:pt idx="30">
                  <c:v>-0.32942115403451983</c:v>
                </c:pt>
                <c:pt idx="31">
                  <c:v>-0.66232703822005889</c:v>
                </c:pt>
                <c:pt idx="32">
                  <c:v>-0.51677998249421209</c:v>
                </c:pt>
                <c:pt idx="33">
                  <c:v>-0.54473752032276634</c:v>
                </c:pt>
                <c:pt idx="34">
                  <c:v>-0.6451306489003209</c:v>
                </c:pt>
                <c:pt idx="35">
                  <c:v>3.5270614081919331E-2</c:v>
                </c:pt>
                <c:pt idx="36">
                  <c:v>-0.52445981504179429</c:v>
                </c:pt>
                <c:pt idx="37">
                  <c:v>-0.93437323942492068</c:v>
                </c:pt>
                <c:pt idx="38">
                  <c:v>-0.48187542092297803</c:v>
                </c:pt>
                <c:pt idx="39">
                  <c:v>-4.2210457989692515E-2</c:v>
                </c:pt>
                <c:pt idx="40">
                  <c:v>-0.36293449410987655</c:v>
                </c:pt>
                <c:pt idx="41">
                  <c:v>-0.28415098076713918</c:v>
                </c:pt>
                <c:pt idx="42">
                  <c:v>-0.13041169252468532</c:v>
                </c:pt>
                <c:pt idx="43">
                  <c:v>0.2220950017782338</c:v>
                </c:pt>
                <c:pt idx="44">
                  <c:v>-0.253552502329837</c:v>
                </c:pt>
                <c:pt idx="45">
                  <c:v>-0.63319855188127827</c:v>
                </c:pt>
                <c:pt idx="46">
                  <c:v>2.2974063559821404E-2</c:v>
                </c:pt>
                <c:pt idx="47">
                  <c:v>-1.3705492656123809E-2</c:v>
                </c:pt>
                <c:pt idx="48">
                  <c:v>-0.17969740289949665</c:v>
                </c:pt>
                <c:pt idx="49">
                  <c:v>-0.46482028600958303</c:v>
                </c:pt>
                <c:pt idx="50">
                  <c:v>-0.75341749015237014</c:v>
                </c:pt>
                <c:pt idx="51">
                  <c:v>-0.15016961479303892</c:v>
                </c:pt>
                <c:pt idx="52">
                  <c:v>-0.27808956138405488</c:v>
                </c:pt>
                <c:pt idx="53">
                  <c:v>4.260919652291649E-2</c:v>
                </c:pt>
                <c:pt idx="54">
                  <c:v>-0.2456512089082056</c:v>
                </c:pt>
                <c:pt idx="55">
                  <c:v>-0.19102734241491806</c:v>
                </c:pt>
                <c:pt idx="56">
                  <c:v>-0.37110860993633576</c:v>
                </c:pt>
                <c:pt idx="57">
                  <c:v>-0.51078895777152966</c:v>
                </c:pt>
                <c:pt idx="58">
                  <c:v>-0.73775759207849423</c:v>
                </c:pt>
                <c:pt idx="59">
                  <c:v>-0.40963880587987822</c:v>
                </c:pt>
                <c:pt idx="60">
                  <c:v>0.5296100858490167</c:v>
                </c:pt>
                <c:pt idx="61">
                  <c:v>-0.47278509393464768</c:v>
                </c:pt>
                <c:pt idx="62">
                  <c:v>-0.68521472583425291</c:v>
                </c:pt>
                <c:pt idx="63">
                  <c:v>-0.17580086280382587</c:v>
                </c:pt>
                <c:pt idx="64">
                  <c:v>-0.23010019273061061</c:v>
                </c:pt>
                <c:pt idx="65">
                  <c:v>-0.43330455428982584</c:v>
                </c:pt>
                <c:pt idx="66">
                  <c:v>-0.5509048386597909</c:v>
                </c:pt>
                <c:pt idx="67">
                  <c:v>-0.46540143560349134</c:v>
                </c:pt>
                <c:pt idx="68">
                  <c:v>-0.61476122916486831</c:v>
                </c:pt>
                <c:pt idx="69">
                  <c:v>-0.28524371433132939</c:v>
                </c:pt>
                <c:pt idx="70">
                  <c:v>-0.16906264592703565</c:v>
                </c:pt>
                <c:pt idx="71">
                  <c:v>0.26796394158567727</c:v>
                </c:pt>
                <c:pt idx="72">
                  <c:v>-0.125193676753491</c:v>
                </c:pt>
                <c:pt idx="73">
                  <c:v>0.60141558996035249</c:v>
                </c:pt>
                <c:pt idx="74">
                  <c:v>0.38473164772125207</c:v>
                </c:pt>
                <c:pt idx="75">
                  <c:v>0.48304324275353905</c:v>
                </c:pt>
                <c:pt idx="76">
                  <c:v>0.1757500114109157</c:v>
                </c:pt>
                <c:pt idx="77">
                  <c:v>0.12301377589514426</c:v>
                </c:pt>
                <c:pt idx="78">
                  <c:v>8.6921138875056189E-3</c:v>
                </c:pt>
                <c:pt idx="79">
                  <c:v>5.9494571785639667E-2</c:v>
                </c:pt>
                <c:pt idx="80">
                  <c:v>0.19124826161047553</c:v>
                </c:pt>
                <c:pt idx="81">
                  <c:v>1.0020499919591552</c:v>
                </c:pt>
                <c:pt idx="82">
                  <c:v>0.78602258051014406</c:v>
                </c:pt>
                <c:pt idx="83">
                  <c:v>0.43674411280063002</c:v>
                </c:pt>
                <c:pt idx="84">
                  <c:v>0.72136527863392985</c:v>
                </c:pt>
                <c:pt idx="85">
                  <c:v>6.4729127970934483E-2</c:v>
                </c:pt>
                <c:pt idx="86">
                  <c:v>-8.2705750426356195E-2</c:v>
                </c:pt>
                <c:pt idx="87">
                  <c:v>5.3341694981823208E-2</c:v>
                </c:pt>
                <c:pt idx="88">
                  <c:v>8.6260261639775446E-2</c:v>
                </c:pt>
                <c:pt idx="89">
                  <c:v>0.20910142045377147</c:v>
                </c:pt>
                <c:pt idx="90">
                  <c:v>-0.20810470380088608</c:v>
                </c:pt>
                <c:pt idx="91">
                  <c:v>0.17291074703976736</c:v>
                </c:pt>
                <c:pt idx="92">
                  <c:v>7.5543370048507613E-2</c:v>
                </c:pt>
                <c:pt idx="93">
                  <c:v>0.92821139756984317</c:v>
                </c:pt>
                <c:pt idx="94">
                  <c:v>0.34274537641430347</c:v>
                </c:pt>
                <c:pt idx="95">
                  <c:v>0.60469294496847803</c:v>
                </c:pt>
                <c:pt idx="96">
                  <c:v>0.28129924548255775</c:v>
                </c:pt>
              </c:numCache>
            </c:numRef>
          </c:yVal>
          <c:smooth val="0"/>
          <c:extLst>
            <c:ext xmlns:c16="http://schemas.microsoft.com/office/drawing/2014/chart" uri="{C3380CC4-5D6E-409C-BE32-E72D297353CC}">
              <c16:uniqueId val="{00000003-D21A-4952-83BD-42E3DD11130C}"/>
            </c:ext>
          </c:extLst>
        </c:ser>
        <c:ser>
          <c:idx val="4"/>
          <c:order val="4"/>
          <c:tx>
            <c:v>5-Dec</c:v>
          </c:tx>
          <c:spPr>
            <a:ln w="19050" cap="rnd">
              <a:solidFill>
                <a:schemeClr val="accent5"/>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LNs!$F$4:$F$100</c:f>
              <c:numCache>
                <c:formatCode>General</c:formatCode>
                <c:ptCount val="97"/>
                <c:pt idx="0">
                  <c:v>-0.55567481378550032</c:v>
                </c:pt>
                <c:pt idx="1">
                  <c:v>-4.0581398465807245E-2</c:v>
                </c:pt>
                <c:pt idx="2">
                  <c:v>0.55711552201681824</c:v>
                </c:pt>
                <c:pt idx="3">
                  <c:v>0.32026300249045142</c:v>
                </c:pt>
                <c:pt idx="4">
                  <c:v>0.6003244046000803</c:v>
                </c:pt>
                <c:pt idx="5">
                  <c:v>0.91497787044861234</c:v>
                </c:pt>
                <c:pt idx="6">
                  <c:v>1.1302853591229756</c:v>
                </c:pt>
                <c:pt idx="7">
                  <c:v>0.57227813807895689</c:v>
                </c:pt>
                <c:pt idx="8">
                  <c:v>0.20659944925347809</c:v>
                </c:pt>
                <c:pt idx="9">
                  <c:v>0.14166447922970632</c:v>
                </c:pt>
                <c:pt idx="10">
                  <c:v>0.75198668058237872</c:v>
                </c:pt>
                <c:pt idx="11">
                  <c:v>0.72397217113786061</c:v>
                </c:pt>
                <c:pt idx="12">
                  <c:v>0.70667526203963704</c:v>
                </c:pt>
                <c:pt idx="13">
                  <c:v>0.37448342738832319</c:v>
                </c:pt>
                <c:pt idx="14">
                  <c:v>-4.1744294708346487E-2</c:v>
                </c:pt>
                <c:pt idx="15">
                  <c:v>-0.43561147793373839</c:v>
                </c:pt>
                <c:pt idx="16">
                  <c:v>-2.2288554654749489E-2</c:v>
                </c:pt>
                <c:pt idx="17">
                  <c:v>-0.40153185350559262</c:v>
                </c:pt>
                <c:pt idx="18">
                  <c:v>-0.12317152753728026</c:v>
                </c:pt>
                <c:pt idx="19">
                  <c:v>0.43105487910716078</c:v>
                </c:pt>
                <c:pt idx="20">
                  <c:v>-6.1078912490819003E-2</c:v>
                </c:pt>
                <c:pt idx="21">
                  <c:v>-0.13105560278014874</c:v>
                </c:pt>
                <c:pt idx="22">
                  <c:v>-0.41539423918604929</c:v>
                </c:pt>
                <c:pt idx="23">
                  <c:v>-0.15132999503493108</c:v>
                </c:pt>
                <c:pt idx="24">
                  <c:v>-0.49757381809024281</c:v>
                </c:pt>
                <c:pt idx="25">
                  <c:v>-0.91760659724538041</c:v>
                </c:pt>
                <c:pt idx="26">
                  <c:v>-0.53329620689335921</c:v>
                </c:pt>
                <c:pt idx="27">
                  <c:v>-0.69020551151403653</c:v>
                </c:pt>
                <c:pt idx="28">
                  <c:v>-0.2137082045277246</c:v>
                </c:pt>
                <c:pt idx="29">
                  <c:v>-0.58998066997200893</c:v>
                </c:pt>
                <c:pt idx="30">
                  <c:v>-0.20893127585918397</c:v>
                </c:pt>
                <c:pt idx="31">
                  <c:v>-0.59997929382765403</c:v>
                </c:pt>
                <c:pt idx="32">
                  <c:v>-0.52156137965132798</c:v>
                </c:pt>
                <c:pt idx="33">
                  <c:v>-0.38777500473784965</c:v>
                </c:pt>
                <c:pt idx="34">
                  <c:v>-0.63464811024607337</c:v>
                </c:pt>
                <c:pt idx="35">
                  <c:v>3.8489676780523667E-2</c:v>
                </c:pt>
                <c:pt idx="36">
                  <c:v>-0.6478679343611855</c:v>
                </c:pt>
                <c:pt idx="37">
                  <c:v>-1.0282311812267468</c:v>
                </c:pt>
                <c:pt idx="38">
                  <c:v>-0.54316288234496279</c:v>
                </c:pt>
                <c:pt idx="39">
                  <c:v>-0.13180602478516493</c:v>
                </c:pt>
                <c:pt idx="40">
                  <c:v>-0.49856114094600856</c:v>
                </c:pt>
                <c:pt idx="41">
                  <c:v>-0.35601087876453941</c:v>
                </c:pt>
                <c:pt idx="42">
                  <c:v>-0.21804407576951096</c:v>
                </c:pt>
                <c:pt idx="43">
                  <c:v>0.12841959964458946</c:v>
                </c:pt>
                <c:pt idx="44">
                  <c:v>-0.29926624396265461</c:v>
                </c:pt>
                <c:pt idx="45">
                  <c:v>-0.65950933031709735</c:v>
                </c:pt>
                <c:pt idx="46">
                  <c:v>-3.276495646549462E-2</c:v>
                </c:pt>
                <c:pt idx="47">
                  <c:v>3.5772467088128444E-2</c:v>
                </c:pt>
                <c:pt idx="48">
                  <c:v>-0.20066925101874994</c:v>
                </c:pt>
                <c:pt idx="49">
                  <c:v>-0.46425379129179517</c:v>
                </c:pt>
                <c:pt idx="50">
                  <c:v>-0.73136215963333917</c:v>
                </c:pt>
                <c:pt idx="51">
                  <c:v>-0.2069196238538957</c:v>
                </c:pt>
                <c:pt idx="52">
                  <c:v>-0.27864569047581494</c:v>
                </c:pt>
                <c:pt idx="53">
                  <c:v>3.300915360694557E-2</c:v>
                </c:pt>
                <c:pt idx="54">
                  <c:v>-0.25709208685223617</c:v>
                </c:pt>
                <c:pt idx="55">
                  <c:v>-0.11681587850367758</c:v>
                </c:pt>
                <c:pt idx="56">
                  <c:v>-0.35385463902582576</c:v>
                </c:pt>
                <c:pt idx="57">
                  <c:v>-0.39139801523527973</c:v>
                </c:pt>
                <c:pt idx="58">
                  <c:v>-0.73198988516746011</c:v>
                </c:pt>
                <c:pt idx="59">
                  <c:v>-0.43180805675424827</c:v>
                </c:pt>
                <c:pt idx="60">
                  <c:v>0.5929345031282478</c:v>
                </c:pt>
                <c:pt idx="61">
                  <c:v>-0.51330703325091676</c:v>
                </c:pt>
                <c:pt idx="62">
                  <c:v>-0.61085224183316122</c:v>
                </c:pt>
                <c:pt idx="63">
                  <c:v>-0.1120864172415932</c:v>
                </c:pt>
                <c:pt idx="64">
                  <c:v>-0.21271808583062701</c:v>
                </c:pt>
                <c:pt idx="65">
                  <c:v>-0.39734516426298783</c:v>
                </c:pt>
                <c:pt idx="66">
                  <c:v>-0.53941030062176731</c:v>
                </c:pt>
                <c:pt idx="67">
                  <c:v>-0.4082103729016513</c:v>
                </c:pt>
                <c:pt idx="68">
                  <c:v>-0.63353766202184869</c:v>
                </c:pt>
                <c:pt idx="69">
                  <c:v>-0.33017073286613258</c:v>
                </c:pt>
                <c:pt idx="70">
                  <c:v>-0.13059399671340113</c:v>
                </c:pt>
                <c:pt idx="71">
                  <c:v>0.31086867352710612</c:v>
                </c:pt>
                <c:pt idx="72">
                  <c:v>8.133110809837274E-2</c:v>
                </c:pt>
                <c:pt idx="73">
                  <c:v>0.64843220153251735</c:v>
                </c:pt>
                <c:pt idx="74">
                  <c:v>0.42137782656821349</c:v>
                </c:pt>
                <c:pt idx="75">
                  <c:v>0.52976317110602789</c:v>
                </c:pt>
                <c:pt idx="76">
                  <c:v>0.2005870556007992</c:v>
                </c:pt>
                <c:pt idx="77">
                  <c:v>5.2744241254859707E-2</c:v>
                </c:pt>
                <c:pt idx="78">
                  <c:v>-5.8859742632313708E-2</c:v>
                </c:pt>
                <c:pt idx="79">
                  <c:v>4.0930788601964328E-2</c:v>
                </c:pt>
                <c:pt idx="80">
                  <c:v>0.121137403468957</c:v>
                </c:pt>
                <c:pt idx="81">
                  <c:v>0.99354062017881206</c:v>
                </c:pt>
                <c:pt idx="82">
                  <c:v>0.76195470153721889</c:v>
                </c:pt>
                <c:pt idx="83">
                  <c:v>0.41164596718324553</c:v>
                </c:pt>
                <c:pt idx="84">
                  <c:v>0.67714482308243951</c:v>
                </c:pt>
                <c:pt idx="85">
                  <c:v>4.2590030622885112E-2</c:v>
                </c:pt>
                <c:pt idx="86">
                  <c:v>-0.11946845517825723</c:v>
                </c:pt>
                <c:pt idx="87">
                  <c:v>-5.6143987368040084E-2</c:v>
                </c:pt>
                <c:pt idx="88">
                  <c:v>5.4118798887495961E-2</c:v>
                </c:pt>
                <c:pt idx="89">
                  <c:v>0.17088136665139889</c:v>
                </c:pt>
                <c:pt idx="90">
                  <c:v>-0.25371487848615742</c:v>
                </c:pt>
                <c:pt idx="91">
                  <c:v>0.16877183924687161</c:v>
                </c:pt>
                <c:pt idx="92">
                  <c:v>4.6501833651419862E-2</c:v>
                </c:pt>
                <c:pt idx="93">
                  <c:v>0.9204221856536039</c:v>
                </c:pt>
                <c:pt idx="94">
                  <c:v>0.30140004927997721</c:v>
                </c:pt>
                <c:pt idx="95">
                  <c:v>0.56963400898753513</c:v>
                </c:pt>
                <c:pt idx="96">
                  <c:v>0.254006357342068</c:v>
                </c:pt>
              </c:numCache>
            </c:numRef>
          </c:yVal>
          <c:smooth val="0"/>
          <c:extLst>
            <c:ext xmlns:c16="http://schemas.microsoft.com/office/drawing/2014/chart" uri="{C3380CC4-5D6E-409C-BE32-E72D297353CC}">
              <c16:uniqueId val="{00000004-D21A-4952-83BD-42E3DD11130C}"/>
            </c:ext>
          </c:extLst>
        </c:ser>
        <c:ser>
          <c:idx val="5"/>
          <c:order val="5"/>
          <c:tx>
            <c:v>6-Dec</c:v>
          </c:tx>
          <c:spPr>
            <a:ln w="19050" cap="rnd">
              <a:solidFill>
                <a:schemeClr val="accent6"/>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LNs!$G$4:$G$100</c:f>
              <c:numCache>
                <c:formatCode>General</c:formatCode>
                <c:ptCount val="97"/>
                <c:pt idx="0">
                  <c:v>-0.45466743220383071</c:v>
                </c:pt>
                <c:pt idx="1">
                  <c:v>-2.5121528152129979E-3</c:v>
                </c:pt>
                <c:pt idx="2">
                  <c:v>0.53223871826930713</c:v>
                </c:pt>
                <c:pt idx="3">
                  <c:v>0.24749269029012594</c:v>
                </c:pt>
                <c:pt idx="4">
                  <c:v>0.66544704991766668</c:v>
                </c:pt>
                <c:pt idx="5">
                  <c:v>1.0085343965414402</c:v>
                </c:pt>
                <c:pt idx="6">
                  <c:v>1.0990521918964951</c:v>
                </c:pt>
                <c:pt idx="7">
                  <c:v>0.53237378555357373</c:v>
                </c:pt>
                <c:pt idx="8">
                  <c:v>0.24811710004808318</c:v>
                </c:pt>
                <c:pt idx="9">
                  <c:v>0.13313131260318295</c:v>
                </c:pt>
                <c:pt idx="10">
                  <c:v>0.68292511278964518</c:v>
                </c:pt>
                <c:pt idx="11">
                  <c:v>0.70546105268122683</c:v>
                </c:pt>
                <c:pt idx="12">
                  <c:v>0.55957007260477853</c:v>
                </c:pt>
                <c:pt idx="13">
                  <c:v>0.26964538496562962</c:v>
                </c:pt>
                <c:pt idx="14">
                  <c:v>-6.4250562601610273E-2</c:v>
                </c:pt>
                <c:pt idx="15">
                  <c:v>-0.48199200349919635</c:v>
                </c:pt>
                <c:pt idx="16">
                  <c:v>-6.1288342029972957E-2</c:v>
                </c:pt>
                <c:pt idx="17">
                  <c:v>-0.39523313375193464</c:v>
                </c:pt>
                <c:pt idx="18">
                  <c:v>-9.9322116872180496E-2</c:v>
                </c:pt>
                <c:pt idx="19">
                  <c:v>0.4234294454771092</c:v>
                </c:pt>
                <c:pt idx="20">
                  <c:v>-2.7052645278006462E-2</c:v>
                </c:pt>
                <c:pt idx="21">
                  <c:v>2.5068552111807475E-3</c:v>
                </c:pt>
                <c:pt idx="22">
                  <c:v>-0.36198616640022729</c:v>
                </c:pt>
                <c:pt idx="23">
                  <c:v>-9.8859471093245069E-2</c:v>
                </c:pt>
                <c:pt idx="24">
                  <c:v>-0.45223129689832509</c:v>
                </c:pt>
                <c:pt idx="25">
                  <c:v>-0.94960452527909212</c:v>
                </c:pt>
                <c:pt idx="26">
                  <c:v>-0.56619387619557104</c:v>
                </c:pt>
                <c:pt idx="27">
                  <c:v>-0.69892785651897205</c:v>
                </c:pt>
                <c:pt idx="28">
                  <c:v>-0.25290454899587456</c:v>
                </c:pt>
                <c:pt idx="29">
                  <c:v>-0.55672821100141401</c:v>
                </c:pt>
                <c:pt idx="30">
                  <c:v>-0.2818855713379726</c:v>
                </c:pt>
                <c:pt idx="31">
                  <c:v>-0.69873677326744088</c:v>
                </c:pt>
                <c:pt idx="32">
                  <c:v>-0.61697348633710292</c:v>
                </c:pt>
                <c:pt idx="33">
                  <c:v>-0.48648591896870497</c:v>
                </c:pt>
                <c:pt idx="34">
                  <c:v>-0.71696252805988403</c:v>
                </c:pt>
                <c:pt idx="35">
                  <c:v>-7.0662836531276321E-2</c:v>
                </c:pt>
                <c:pt idx="36">
                  <c:v>-0.77708981641038488</c:v>
                </c:pt>
                <c:pt idx="37">
                  <c:v>-1.1267185962908794</c:v>
                </c:pt>
                <c:pt idx="38">
                  <c:v>-0.66747358587525041</c:v>
                </c:pt>
                <c:pt idx="39">
                  <c:v>-0.16589048917577492</c:v>
                </c:pt>
                <c:pt idx="40">
                  <c:v>-0.52511557382719387</c:v>
                </c:pt>
                <c:pt idx="41">
                  <c:v>-0.39339079687539169</c:v>
                </c:pt>
                <c:pt idx="42">
                  <c:v>-0.322417074799278</c:v>
                </c:pt>
                <c:pt idx="43">
                  <c:v>4.6616374628579524E-2</c:v>
                </c:pt>
                <c:pt idx="44">
                  <c:v>-0.2132860465514281</c:v>
                </c:pt>
                <c:pt idx="45">
                  <c:v>-0.61277160521607632</c:v>
                </c:pt>
                <c:pt idx="46">
                  <c:v>-2.6469239858385476E-2</c:v>
                </c:pt>
                <c:pt idx="47">
                  <c:v>0.10018012055172802</c:v>
                </c:pt>
                <c:pt idx="48">
                  <c:v>-0.16694636319260484</c:v>
                </c:pt>
                <c:pt idx="49">
                  <c:v>-0.41472787538734945</c:v>
                </c:pt>
                <c:pt idx="50">
                  <c:v>-0.71705060464150439</c:v>
                </c:pt>
                <c:pt idx="51">
                  <c:v>-0.18898732373785548</c:v>
                </c:pt>
                <c:pt idx="52">
                  <c:v>-0.34066380899974863</c:v>
                </c:pt>
                <c:pt idx="53">
                  <c:v>-3.0414878570342183E-2</c:v>
                </c:pt>
                <c:pt idx="54">
                  <c:v>-0.23975831525052504</c:v>
                </c:pt>
                <c:pt idx="55">
                  <c:v>-0.11317989637662514</c:v>
                </c:pt>
                <c:pt idx="56">
                  <c:v>-0.31198979245614122</c:v>
                </c:pt>
                <c:pt idx="57">
                  <c:v>-0.29831978616509242</c:v>
                </c:pt>
                <c:pt idx="58">
                  <c:v>-0.66525189712121235</c:v>
                </c:pt>
                <c:pt idx="59">
                  <c:v>-0.35088885852005119</c:v>
                </c:pt>
                <c:pt idx="60">
                  <c:v>0.33536448042867528</c:v>
                </c:pt>
                <c:pt idx="61">
                  <c:v>-0.40576765387051839</c:v>
                </c:pt>
                <c:pt idx="62">
                  <c:v>-0.60399409865845499</c:v>
                </c:pt>
                <c:pt idx="63">
                  <c:v>-0.14690151860269857</c:v>
                </c:pt>
                <c:pt idx="64">
                  <c:v>-0.22545497058673772</c:v>
                </c:pt>
                <c:pt idx="65">
                  <c:v>-0.39864491856464696</c:v>
                </c:pt>
                <c:pt idx="66">
                  <c:v>-0.54307853519614768</c:v>
                </c:pt>
                <c:pt idx="67">
                  <c:v>-0.46138011882368346</c:v>
                </c:pt>
                <c:pt idx="68">
                  <c:v>-0.5942217255636858</c:v>
                </c:pt>
                <c:pt idx="69">
                  <c:v>-0.348117378856176</c:v>
                </c:pt>
                <c:pt idx="70">
                  <c:v>-0.12627549472123972</c:v>
                </c:pt>
                <c:pt idx="71">
                  <c:v>0.30419252176626521</c:v>
                </c:pt>
                <c:pt idx="72">
                  <c:v>6.3497972987496638E-3</c:v>
                </c:pt>
                <c:pt idx="73">
                  <c:v>0.58967377208366922</c:v>
                </c:pt>
                <c:pt idx="74">
                  <c:v>0.36287071047574376</c:v>
                </c:pt>
                <c:pt idx="75">
                  <c:v>0.4372673466561075</c:v>
                </c:pt>
                <c:pt idx="76">
                  <c:v>2.5433801256810135E-2</c:v>
                </c:pt>
                <c:pt idx="77">
                  <c:v>-0.13593427724083296</c:v>
                </c:pt>
                <c:pt idx="78">
                  <c:v>-0.28675450277757325</c:v>
                </c:pt>
                <c:pt idx="79">
                  <c:v>-0.24952089476698913</c:v>
                </c:pt>
                <c:pt idx="80">
                  <c:v>-1.8096364047106401E-3</c:v>
                </c:pt>
                <c:pt idx="81">
                  <c:v>0.92486189428982146</c:v>
                </c:pt>
                <c:pt idx="82">
                  <c:v>0.64096928450136503</c:v>
                </c:pt>
                <c:pt idx="83">
                  <c:v>0.31843918555820305</c:v>
                </c:pt>
                <c:pt idx="84">
                  <c:v>0.6347073578309006</c:v>
                </c:pt>
                <c:pt idx="85">
                  <c:v>1.8281863678012478E-2</c:v>
                </c:pt>
                <c:pt idx="86">
                  <c:v>-0.1443358366999925</c:v>
                </c:pt>
                <c:pt idx="87">
                  <c:v>-6.0356345305796262E-2</c:v>
                </c:pt>
                <c:pt idx="88">
                  <c:v>1.1543121094983403E-2</c:v>
                </c:pt>
                <c:pt idx="89">
                  <c:v>0.1069063202859943</c:v>
                </c:pt>
                <c:pt idx="90">
                  <c:v>-0.34173566418530971</c:v>
                </c:pt>
                <c:pt idx="91">
                  <c:v>0.13474940055161441</c:v>
                </c:pt>
                <c:pt idx="92">
                  <c:v>2.4438921877018138E-2</c:v>
                </c:pt>
                <c:pt idx="93">
                  <c:v>0.86511953529552166</c:v>
                </c:pt>
                <c:pt idx="94">
                  <c:v>0.22031555630316293</c:v>
                </c:pt>
                <c:pt idx="95">
                  <c:v>0.60993403569089544</c:v>
                </c:pt>
                <c:pt idx="96">
                  <c:v>0.15802886422491008</c:v>
                </c:pt>
              </c:numCache>
            </c:numRef>
          </c:yVal>
          <c:smooth val="0"/>
          <c:extLst>
            <c:ext xmlns:c16="http://schemas.microsoft.com/office/drawing/2014/chart" uri="{C3380CC4-5D6E-409C-BE32-E72D297353CC}">
              <c16:uniqueId val="{00000005-D21A-4952-83BD-42E3DD11130C}"/>
            </c:ext>
          </c:extLst>
        </c:ser>
        <c:ser>
          <c:idx val="6"/>
          <c:order val="6"/>
          <c:tx>
            <c:v>7-Dec</c:v>
          </c:tx>
          <c:spPr>
            <a:ln w="19050" cap="rnd">
              <a:solidFill>
                <a:schemeClr val="accent1">
                  <a:lumMod val="60000"/>
                </a:schemeClr>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LNs!$H$4:$H$100</c:f>
              <c:numCache>
                <c:formatCode>General</c:formatCode>
                <c:ptCount val="97"/>
                <c:pt idx="0">
                  <c:v>-0.52724468179428585</c:v>
                </c:pt>
                <c:pt idx="1">
                  <c:v>-0.10461745845988318</c:v>
                </c:pt>
                <c:pt idx="2">
                  <c:v>0.60310211567989358</c:v>
                </c:pt>
                <c:pt idx="3">
                  <c:v>0.2824911227546994</c:v>
                </c:pt>
                <c:pt idx="4">
                  <c:v>0.61091708229097341</c:v>
                </c:pt>
                <c:pt idx="5">
                  <c:v>0.92868164643499396</c:v>
                </c:pt>
                <c:pt idx="6">
                  <c:v>1.1040706977447425</c:v>
                </c:pt>
                <c:pt idx="7">
                  <c:v>0.53012224070758074</c:v>
                </c:pt>
                <c:pt idx="8">
                  <c:v>0.13695801504242439</c:v>
                </c:pt>
                <c:pt idx="9">
                  <c:v>5.3408056700616088E-2</c:v>
                </c:pt>
                <c:pt idx="10">
                  <c:v>0.68845619507182176</c:v>
                </c:pt>
                <c:pt idx="11">
                  <c:v>0.6943614430447721</c:v>
                </c:pt>
                <c:pt idx="12">
                  <c:v>0.61730771022807529</c:v>
                </c:pt>
                <c:pt idx="13">
                  <c:v>0.37385747511222134</c:v>
                </c:pt>
                <c:pt idx="14">
                  <c:v>2.9267497680568143E-2</c:v>
                </c:pt>
                <c:pt idx="15">
                  <c:v>-0.40272337010914666</c:v>
                </c:pt>
                <c:pt idx="16">
                  <c:v>-2.2407176190832958E-2</c:v>
                </c:pt>
                <c:pt idx="17">
                  <c:v>-0.37260109448899159</c:v>
                </c:pt>
                <c:pt idx="18">
                  <c:v>-0.11523017198749351</c:v>
                </c:pt>
                <c:pt idx="19">
                  <c:v>0.41364489557635137</c:v>
                </c:pt>
                <c:pt idx="20">
                  <c:v>-5.5899676969936855E-2</c:v>
                </c:pt>
                <c:pt idx="21">
                  <c:v>-2.0089448425427512E-2</c:v>
                </c:pt>
                <c:pt idx="22">
                  <c:v>-0.39697921535786634</c:v>
                </c:pt>
                <c:pt idx="23">
                  <c:v>-0.15863471811732119</c:v>
                </c:pt>
                <c:pt idx="24">
                  <c:v>-0.44926496957633949</c:v>
                </c:pt>
                <c:pt idx="25">
                  <c:v>-0.90849618840824276</c:v>
                </c:pt>
                <c:pt idx="26">
                  <c:v>-0.58412956026866647</c:v>
                </c:pt>
                <c:pt idx="27">
                  <c:v>-0.79108861909124739</c:v>
                </c:pt>
                <c:pt idx="28">
                  <c:v>-0.30260621891018868</c:v>
                </c:pt>
                <c:pt idx="29">
                  <c:v>-0.50586627502383985</c:v>
                </c:pt>
                <c:pt idx="30">
                  <c:v>-0.25298696905490303</c:v>
                </c:pt>
                <c:pt idx="31">
                  <c:v>-0.67401929065176913</c:v>
                </c:pt>
                <c:pt idx="32">
                  <c:v>-0.59272463664175956</c:v>
                </c:pt>
                <c:pt idx="33">
                  <c:v>-0.56360071723010829</c:v>
                </c:pt>
                <c:pt idx="34">
                  <c:v>-0.77872903435037277</c:v>
                </c:pt>
                <c:pt idx="35">
                  <c:v>1.6837451189668309E-2</c:v>
                </c:pt>
                <c:pt idx="36">
                  <c:v>-0.6481432226509366</c:v>
                </c:pt>
                <c:pt idx="37">
                  <c:v>-1.13715251340616</c:v>
                </c:pt>
                <c:pt idx="38">
                  <c:v>-0.78664061165205212</c:v>
                </c:pt>
                <c:pt idx="39">
                  <c:v>-0.20144688550861059</c:v>
                </c:pt>
                <c:pt idx="40">
                  <c:v>-0.54462545647729033</c:v>
                </c:pt>
                <c:pt idx="41">
                  <c:v>-0.40585918574655805</c:v>
                </c:pt>
                <c:pt idx="42">
                  <c:v>-0.2774743489843598</c:v>
                </c:pt>
                <c:pt idx="43">
                  <c:v>7.069142812253297E-2</c:v>
                </c:pt>
                <c:pt idx="44">
                  <c:v>-0.32568027983650899</c:v>
                </c:pt>
                <c:pt idx="45">
                  <c:v>-0.64062114630849865</c:v>
                </c:pt>
                <c:pt idx="46">
                  <c:v>8.8507165979620564E-3</c:v>
                </c:pt>
                <c:pt idx="47">
                  <c:v>0.2215102181515313</c:v>
                </c:pt>
                <c:pt idx="48">
                  <c:v>-7.6645650876865271E-2</c:v>
                </c:pt>
                <c:pt idx="49">
                  <c:v>-0.4893511920994465</c:v>
                </c:pt>
                <c:pt idx="50">
                  <c:v>-0.74640872647379097</c:v>
                </c:pt>
                <c:pt idx="51">
                  <c:v>-0.25946527061372165</c:v>
                </c:pt>
                <c:pt idx="52">
                  <c:v>-0.37093325511409991</c:v>
                </c:pt>
                <c:pt idx="53">
                  <c:v>-7.8991160334326641E-3</c:v>
                </c:pt>
                <c:pt idx="54">
                  <c:v>-0.23662527269354758</c:v>
                </c:pt>
                <c:pt idx="55">
                  <c:v>-2.0637495701842784E-2</c:v>
                </c:pt>
                <c:pt idx="56">
                  <c:v>-0.31896636249154731</c:v>
                </c:pt>
                <c:pt idx="57">
                  <c:v>-0.3267070714249985</c:v>
                </c:pt>
                <c:pt idx="58">
                  <c:v>-0.61444691201628021</c:v>
                </c:pt>
                <c:pt idx="59">
                  <c:v>-0.33659084365474912</c:v>
                </c:pt>
                <c:pt idx="60">
                  <c:v>0.36893942675871438</c:v>
                </c:pt>
                <c:pt idx="61">
                  <c:v>-0.30605380396778653</c:v>
                </c:pt>
                <c:pt idx="62">
                  <c:v>-0.52247656650685237</c:v>
                </c:pt>
                <c:pt idx="63">
                  <c:v>-0.14703935864938855</c:v>
                </c:pt>
                <c:pt idx="64">
                  <c:v>-0.2447017687573507</c:v>
                </c:pt>
                <c:pt idx="65">
                  <c:v>-0.49228195856476153</c:v>
                </c:pt>
                <c:pt idx="66">
                  <c:v>-0.64320149378778835</c:v>
                </c:pt>
                <c:pt idx="67">
                  <c:v>-0.43121993464807723</c:v>
                </c:pt>
                <c:pt idx="68">
                  <c:v>-0.56891564789066318</c:v>
                </c:pt>
                <c:pt idx="69">
                  <c:v>-0.39258639588480881</c:v>
                </c:pt>
                <c:pt idx="70">
                  <c:v>-0.17939464438419506</c:v>
                </c:pt>
                <c:pt idx="71">
                  <c:v>0.19472761575167977</c:v>
                </c:pt>
                <c:pt idx="72">
                  <c:v>-8.7665772878102927E-2</c:v>
                </c:pt>
                <c:pt idx="73">
                  <c:v>0.64579348417647497</c:v>
                </c:pt>
                <c:pt idx="74">
                  <c:v>0.2823478708610791</c:v>
                </c:pt>
                <c:pt idx="75">
                  <c:v>0.44479478968314595</c:v>
                </c:pt>
                <c:pt idx="76">
                  <c:v>4.2149113508158281E-2</c:v>
                </c:pt>
                <c:pt idx="77">
                  <c:v>-0.19322922975287674</c:v>
                </c:pt>
                <c:pt idx="78">
                  <c:v>-0.33422456452974331</c:v>
                </c:pt>
                <c:pt idx="79">
                  <c:v>-0.2749224899236174</c:v>
                </c:pt>
                <c:pt idx="80">
                  <c:v>-2.5556810902186297E-2</c:v>
                </c:pt>
                <c:pt idx="81">
                  <c:v>0.94118625070693085</c:v>
                </c:pt>
                <c:pt idx="82">
                  <c:v>0.6464538165677608</c:v>
                </c:pt>
                <c:pt idx="83">
                  <c:v>0.2688661581941405</c:v>
                </c:pt>
                <c:pt idx="84">
                  <c:v>0.58052704417285883</c:v>
                </c:pt>
                <c:pt idx="85">
                  <c:v>-1.0705728586756619E-3</c:v>
                </c:pt>
                <c:pt idx="86">
                  <c:v>-0.19311519913431913</c:v>
                </c:pt>
                <c:pt idx="87">
                  <c:v>-0.11393270769180056</c:v>
                </c:pt>
                <c:pt idx="88">
                  <c:v>-3.766863824492539E-2</c:v>
                </c:pt>
                <c:pt idx="89">
                  <c:v>3.8008440185706129E-2</c:v>
                </c:pt>
                <c:pt idx="90">
                  <c:v>-0.48930225557174439</c:v>
                </c:pt>
                <c:pt idx="91">
                  <c:v>0.10116572983294572</c:v>
                </c:pt>
                <c:pt idx="92">
                  <c:v>-3.121825837756036E-2</c:v>
                </c:pt>
                <c:pt idx="93">
                  <c:v>0.76120761746485543</c:v>
                </c:pt>
                <c:pt idx="94">
                  <c:v>0.17100779689368129</c:v>
                </c:pt>
                <c:pt idx="95">
                  <c:v>0.55367244693640427</c:v>
                </c:pt>
                <c:pt idx="96">
                  <c:v>0.13783835433495337</c:v>
                </c:pt>
              </c:numCache>
            </c:numRef>
          </c:yVal>
          <c:smooth val="0"/>
          <c:extLst>
            <c:ext xmlns:c16="http://schemas.microsoft.com/office/drawing/2014/chart" uri="{C3380CC4-5D6E-409C-BE32-E72D297353CC}">
              <c16:uniqueId val="{00000006-D21A-4952-83BD-42E3DD11130C}"/>
            </c:ext>
          </c:extLst>
        </c:ser>
        <c:ser>
          <c:idx val="7"/>
          <c:order val="7"/>
          <c:tx>
            <c:v>8-Dec</c:v>
          </c:tx>
          <c:spPr>
            <a:ln w="19050" cap="rnd">
              <a:solidFill>
                <a:schemeClr val="accent2">
                  <a:lumMod val="60000"/>
                </a:schemeClr>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LNs!$I$4:$I$100</c:f>
              <c:numCache>
                <c:formatCode>General</c:formatCode>
                <c:ptCount val="97"/>
                <c:pt idx="0">
                  <c:v>-0.56057624903054715</c:v>
                </c:pt>
                <c:pt idx="1">
                  <c:v>-7.0034127691799244E-2</c:v>
                </c:pt>
                <c:pt idx="2">
                  <c:v>0.63292466538779668</c:v>
                </c:pt>
                <c:pt idx="3">
                  <c:v>0.23134185321108813</c:v>
                </c:pt>
                <c:pt idx="4">
                  <c:v>0.66812676424780404</c:v>
                </c:pt>
                <c:pt idx="5">
                  <c:v>1.0380409987628365</c:v>
                </c:pt>
                <c:pt idx="6">
                  <c:v>1.0816221027484196</c:v>
                </c:pt>
                <c:pt idx="7">
                  <c:v>0.46294754352152684</c:v>
                </c:pt>
                <c:pt idx="8">
                  <c:v>5.3085687091589298E-2</c:v>
                </c:pt>
                <c:pt idx="9">
                  <c:v>-7.2367487675950609E-2</c:v>
                </c:pt>
                <c:pt idx="10">
                  <c:v>0.5801856278515215</c:v>
                </c:pt>
                <c:pt idx="11">
                  <c:v>0.5473234023261615</c:v>
                </c:pt>
                <c:pt idx="12">
                  <c:v>0.40905200084347465</c:v>
                </c:pt>
                <c:pt idx="13">
                  <c:v>0.22617096407221585</c:v>
                </c:pt>
                <c:pt idx="14">
                  <c:v>-0.1183928465532592</c:v>
                </c:pt>
                <c:pt idx="15">
                  <c:v>-0.44154368295249197</c:v>
                </c:pt>
                <c:pt idx="16">
                  <c:v>-0.18422937552332089</c:v>
                </c:pt>
                <c:pt idx="17">
                  <c:v>-0.52312427643642201</c:v>
                </c:pt>
                <c:pt idx="18">
                  <c:v>-0.18531322738111972</c:v>
                </c:pt>
                <c:pt idx="19">
                  <c:v>0.32732337022387364</c:v>
                </c:pt>
                <c:pt idx="20">
                  <c:v>-0.18074519989759288</c:v>
                </c:pt>
                <c:pt idx="21">
                  <c:v>-0.16173218024261965</c:v>
                </c:pt>
                <c:pt idx="22">
                  <c:v>-0.47835682020610565</c:v>
                </c:pt>
                <c:pt idx="23">
                  <c:v>-0.19943068681297432</c:v>
                </c:pt>
                <c:pt idx="24">
                  <c:v>-0.49586312237647606</c:v>
                </c:pt>
                <c:pt idx="25">
                  <c:v>-0.8626954640616572</c:v>
                </c:pt>
                <c:pt idx="26">
                  <c:v>-0.55393669455673156</c:v>
                </c:pt>
                <c:pt idx="27">
                  <c:v>-0.74470156165924428</c:v>
                </c:pt>
                <c:pt idx="28">
                  <c:v>-0.28222233730074608</c:v>
                </c:pt>
                <c:pt idx="29">
                  <c:v>-0.56265765973996029</c:v>
                </c:pt>
                <c:pt idx="30">
                  <c:v>-0.27006221782837775</c:v>
                </c:pt>
                <c:pt idx="31">
                  <c:v>-0.73273035939597608</c:v>
                </c:pt>
                <c:pt idx="32">
                  <c:v>-0.60758986019846006</c:v>
                </c:pt>
                <c:pt idx="33">
                  <c:v>-0.51314330752121962</c:v>
                </c:pt>
                <c:pt idx="34">
                  <c:v>-0.73471111691765434</c:v>
                </c:pt>
                <c:pt idx="35">
                  <c:v>4.4523933879465835E-2</c:v>
                </c:pt>
                <c:pt idx="36">
                  <c:v>-0.80533315900519264</c:v>
                </c:pt>
                <c:pt idx="37">
                  <c:v>-1.1664040960071727</c:v>
                </c:pt>
                <c:pt idx="38">
                  <c:v>-0.72061087906485533</c:v>
                </c:pt>
                <c:pt idx="39">
                  <c:v>-0.23882841823439266</c:v>
                </c:pt>
                <c:pt idx="40">
                  <c:v>-0.64899250559352473</c:v>
                </c:pt>
                <c:pt idx="41">
                  <c:v>-0.52982497377577353</c:v>
                </c:pt>
                <c:pt idx="42">
                  <c:v>-0.4119913578237262</c:v>
                </c:pt>
                <c:pt idx="43">
                  <c:v>-2.0484379636503923E-2</c:v>
                </c:pt>
                <c:pt idx="44">
                  <c:v>-0.39336412127733789</c:v>
                </c:pt>
                <c:pt idx="45">
                  <c:v>-0.78305657091858871</c:v>
                </c:pt>
                <c:pt idx="46">
                  <c:v>3.103344258017296E-2</c:v>
                </c:pt>
                <c:pt idx="47">
                  <c:v>0.18702713484227287</c:v>
                </c:pt>
                <c:pt idx="48">
                  <c:v>-9.117822808646546E-2</c:v>
                </c:pt>
                <c:pt idx="49">
                  <c:v>-0.45128865205006891</c:v>
                </c:pt>
                <c:pt idx="50">
                  <c:v>-0.69054656509366796</c:v>
                </c:pt>
                <c:pt idx="51">
                  <c:v>-0.27660762118353416</c:v>
                </c:pt>
                <c:pt idx="52">
                  <c:v>-0.32611525578808936</c:v>
                </c:pt>
                <c:pt idx="53">
                  <c:v>-3.1338975810697209E-2</c:v>
                </c:pt>
                <c:pt idx="54">
                  <c:v>-0.28295459792272393</c:v>
                </c:pt>
                <c:pt idx="55">
                  <c:v>6.298016333095459E-4</c:v>
                </c:pt>
                <c:pt idx="56">
                  <c:v>-0.27106359414903053</c:v>
                </c:pt>
                <c:pt idx="57">
                  <c:v>-0.27153841862374123</c:v>
                </c:pt>
                <c:pt idx="58">
                  <c:v>-0.60064457466904708</c:v>
                </c:pt>
                <c:pt idx="59">
                  <c:v>-0.23299946162513752</c:v>
                </c:pt>
                <c:pt idx="60">
                  <c:v>0.36610038458588762</c:v>
                </c:pt>
                <c:pt idx="61">
                  <c:v>-0.1952280889074797</c:v>
                </c:pt>
                <c:pt idx="62">
                  <c:v>-0.40143623492802549</c:v>
                </c:pt>
                <c:pt idx="63">
                  <c:v>-7.5842706705254781E-2</c:v>
                </c:pt>
                <c:pt idx="64">
                  <c:v>-0.20111912932692227</c:v>
                </c:pt>
                <c:pt idx="65">
                  <c:v>-0.49463080397721043</c:v>
                </c:pt>
                <c:pt idx="66">
                  <c:v>-0.51550656228453129</c:v>
                </c:pt>
                <c:pt idx="67">
                  <c:v>-0.4555580705508504</c:v>
                </c:pt>
                <c:pt idx="68">
                  <c:v>-0.57712569552322279</c:v>
                </c:pt>
                <c:pt idx="69">
                  <c:v>-0.31457239824564803</c:v>
                </c:pt>
                <c:pt idx="70">
                  <c:v>-0.1437606766672285</c:v>
                </c:pt>
                <c:pt idx="71">
                  <c:v>0.18533368245191328</c:v>
                </c:pt>
                <c:pt idx="72">
                  <c:v>5.1467328195298851E-3</c:v>
                </c:pt>
                <c:pt idx="73">
                  <c:v>0.6447759286345256</c:v>
                </c:pt>
                <c:pt idx="74">
                  <c:v>0.35654093495993028</c:v>
                </c:pt>
                <c:pt idx="75">
                  <c:v>0.48896644321308536</c:v>
                </c:pt>
                <c:pt idx="76">
                  <c:v>0.10074990310014315</c:v>
                </c:pt>
                <c:pt idx="77">
                  <c:v>-0.18280567395976172</c:v>
                </c:pt>
                <c:pt idx="78">
                  <c:v>-0.31434505828652137</c:v>
                </c:pt>
                <c:pt idx="79">
                  <c:v>-0.25563575176446651</c:v>
                </c:pt>
                <c:pt idx="80">
                  <c:v>6.8663724172773949E-3</c:v>
                </c:pt>
                <c:pt idx="81">
                  <c:v>0.97395945992609845</c:v>
                </c:pt>
                <c:pt idx="82">
                  <c:v>0.64667906833995159</c:v>
                </c:pt>
                <c:pt idx="83">
                  <c:v>0.27205561281576479</c:v>
                </c:pt>
                <c:pt idx="84">
                  <c:v>0.52466935558664085</c:v>
                </c:pt>
                <c:pt idx="85">
                  <c:v>-4.5600057973354625E-2</c:v>
                </c:pt>
                <c:pt idx="86">
                  <c:v>-0.20802466976791001</c:v>
                </c:pt>
                <c:pt idx="87">
                  <c:v>-0.2193681869792265</c:v>
                </c:pt>
                <c:pt idx="88">
                  <c:v>-8.5736743444254069E-4</c:v>
                </c:pt>
                <c:pt idx="89">
                  <c:v>1.3695783128986515E-2</c:v>
                </c:pt>
                <c:pt idx="90">
                  <c:v>-0.60625781101292087</c:v>
                </c:pt>
                <c:pt idx="91">
                  <c:v>6.5075876736187657E-2</c:v>
                </c:pt>
                <c:pt idx="92">
                  <c:v>-0.15915752652464127</c:v>
                </c:pt>
                <c:pt idx="93">
                  <c:v>0.69966092002225411</c:v>
                </c:pt>
                <c:pt idx="94">
                  <c:v>6.8663724172773949E-3</c:v>
                </c:pt>
                <c:pt idx="95">
                  <c:v>0.50505098257325265</c:v>
                </c:pt>
                <c:pt idx="96">
                  <c:v>6.5178941024971376E-2</c:v>
                </c:pt>
              </c:numCache>
            </c:numRef>
          </c:yVal>
          <c:smooth val="0"/>
          <c:extLst>
            <c:ext xmlns:c16="http://schemas.microsoft.com/office/drawing/2014/chart" uri="{C3380CC4-5D6E-409C-BE32-E72D297353CC}">
              <c16:uniqueId val="{00000007-D21A-4952-83BD-42E3DD11130C}"/>
            </c:ext>
          </c:extLst>
        </c:ser>
        <c:ser>
          <c:idx val="8"/>
          <c:order val="8"/>
          <c:tx>
            <c:v>9-Dec</c:v>
          </c:tx>
          <c:spPr>
            <a:ln w="19050" cap="rnd">
              <a:solidFill>
                <a:schemeClr val="accent3">
                  <a:lumMod val="60000"/>
                </a:schemeClr>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LNs!$J$4:$J$100</c:f>
              <c:numCache>
                <c:formatCode>General</c:formatCode>
                <c:ptCount val="97"/>
                <c:pt idx="0">
                  <c:v>-0.56299474017019069</c:v>
                </c:pt>
                <c:pt idx="1">
                  <c:v>-0.22899061210613697</c:v>
                </c:pt>
                <c:pt idx="2">
                  <c:v>0.62470772733742419</c:v>
                </c:pt>
                <c:pt idx="3">
                  <c:v>0.33361816763830648</c:v>
                </c:pt>
                <c:pt idx="4">
                  <c:v>0.76224871280976891</c:v>
                </c:pt>
                <c:pt idx="5">
                  <c:v>1.0642830593444828</c:v>
                </c:pt>
                <c:pt idx="6">
                  <c:v>1.0469364649852058</c:v>
                </c:pt>
                <c:pt idx="7">
                  <c:v>0.36442781263454443</c:v>
                </c:pt>
                <c:pt idx="8">
                  <c:v>0.10037912912784536</c:v>
                </c:pt>
                <c:pt idx="9">
                  <c:v>-2.5209095944939787E-2</c:v>
                </c:pt>
                <c:pt idx="10">
                  <c:v>0.60876507128731072</c:v>
                </c:pt>
                <c:pt idx="11">
                  <c:v>0.58610747807894148</c:v>
                </c:pt>
                <c:pt idx="12">
                  <c:v>0.41269888117004316</c:v>
                </c:pt>
                <c:pt idx="13">
                  <c:v>0.17480168664353971</c:v>
                </c:pt>
                <c:pt idx="14">
                  <c:v>-0.16293430987390659</c:v>
                </c:pt>
                <c:pt idx="15">
                  <c:v>-0.40027012542796525</c:v>
                </c:pt>
                <c:pt idx="16">
                  <c:v>-0.15898635287089688</c:v>
                </c:pt>
                <c:pt idx="17">
                  <c:v>-0.60897516407525509</c:v>
                </c:pt>
                <c:pt idx="18">
                  <c:v>-0.24830239757460953</c:v>
                </c:pt>
                <c:pt idx="19">
                  <c:v>0.31209171818153791</c:v>
                </c:pt>
                <c:pt idx="20">
                  <c:v>-0.11704855545301734</c:v>
                </c:pt>
                <c:pt idx="21">
                  <c:v>-0.1054482972882987</c:v>
                </c:pt>
                <c:pt idx="22">
                  <c:v>-0.49347043344628988</c:v>
                </c:pt>
                <c:pt idx="23">
                  <c:v>-0.22307105394220766</c:v>
                </c:pt>
                <c:pt idx="24">
                  <c:v>-0.60641184166532514</c:v>
                </c:pt>
                <c:pt idx="25">
                  <c:v>-0.99062103643420241</c:v>
                </c:pt>
                <c:pt idx="26">
                  <c:v>-0.70354909336089466</c:v>
                </c:pt>
                <c:pt idx="27">
                  <c:v>-0.78758094452884952</c:v>
                </c:pt>
                <c:pt idx="28">
                  <c:v>-0.31142846618178133</c:v>
                </c:pt>
                <c:pt idx="29">
                  <c:v>-0.53516613168582117</c:v>
                </c:pt>
                <c:pt idx="30">
                  <c:v>-0.25121257632513544</c:v>
                </c:pt>
                <c:pt idx="31">
                  <c:v>-0.71713664042015046</c:v>
                </c:pt>
                <c:pt idx="32">
                  <c:v>-0.69070616227073278</c:v>
                </c:pt>
                <c:pt idx="33">
                  <c:v>-0.55995459532416447</c:v>
                </c:pt>
                <c:pt idx="34">
                  <c:v>-0.8053711962391743</c:v>
                </c:pt>
                <c:pt idx="35">
                  <c:v>8.0805493601443151E-2</c:v>
                </c:pt>
                <c:pt idx="36">
                  <c:v>-0.68526631630907553</c:v>
                </c:pt>
                <c:pt idx="37">
                  <c:v>-1.1557669378092625</c:v>
                </c:pt>
                <c:pt idx="38">
                  <c:v>-0.84719386579482869</c:v>
                </c:pt>
                <c:pt idx="39">
                  <c:v>-0.27959750746040263</c:v>
                </c:pt>
                <c:pt idx="40">
                  <c:v>-0.72929677443144059</c:v>
                </c:pt>
                <c:pt idx="41">
                  <c:v>-0.60493668946175372</c:v>
                </c:pt>
                <c:pt idx="42">
                  <c:v>-0.44386971436728745</c:v>
                </c:pt>
                <c:pt idx="43">
                  <c:v>-3.8207706417903178E-2</c:v>
                </c:pt>
                <c:pt idx="44">
                  <c:v>-0.46894498980226273</c:v>
                </c:pt>
                <c:pt idx="45">
                  <c:v>-0.72887799051574431</c:v>
                </c:pt>
                <c:pt idx="46">
                  <c:v>-4.3437913053623767E-2</c:v>
                </c:pt>
                <c:pt idx="47">
                  <c:v>0.23782721669936197</c:v>
                </c:pt>
                <c:pt idx="48">
                  <c:v>-0.11425887780193039</c:v>
                </c:pt>
                <c:pt idx="49">
                  <c:v>-0.44978069813271843</c:v>
                </c:pt>
                <c:pt idx="50">
                  <c:v>-0.65109777961124182</c:v>
                </c:pt>
                <c:pt idx="51">
                  <c:v>-0.32422020028997278</c:v>
                </c:pt>
                <c:pt idx="52">
                  <c:v>-0.42139024260529218</c:v>
                </c:pt>
                <c:pt idx="53">
                  <c:v>-3.4832674691374473E-2</c:v>
                </c:pt>
                <c:pt idx="54">
                  <c:v>-0.18983209037449283</c:v>
                </c:pt>
                <c:pt idx="55">
                  <c:v>3.291239595575883E-2</c:v>
                </c:pt>
                <c:pt idx="56">
                  <c:v>-0.29696233451785647</c:v>
                </c:pt>
                <c:pt idx="57">
                  <c:v>-0.285919626472521</c:v>
                </c:pt>
                <c:pt idx="58">
                  <c:v>-0.52680088478178466</c:v>
                </c:pt>
                <c:pt idx="59">
                  <c:v>-0.14249372028505328</c:v>
                </c:pt>
                <c:pt idx="60">
                  <c:v>0.4392544312642388</c:v>
                </c:pt>
                <c:pt idx="61">
                  <c:v>-0.1125462714725515</c:v>
                </c:pt>
                <c:pt idx="62">
                  <c:v>-0.33574410177574165</c:v>
                </c:pt>
                <c:pt idx="63">
                  <c:v>-6.6676271164452225E-2</c:v>
                </c:pt>
                <c:pt idx="64">
                  <c:v>-0.14870304517033001</c:v>
                </c:pt>
                <c:pt idx="65">
                  <c:v>-0.46318691591881317</c:v>
                </c:pt>
                <c:pt idx="66">
                  <c:v>-0.62324805318027809</c:v>
                </c:pt>
                <c:pt idx="67">
                  <c:v>-0.51508635446800755</c:v>
                </c:pt>
                <c:pt idx="68">
                  <c:v>-0.6458285747921434</c:v>
                </c:pt>
                <c:pt idx="69">
                  <c:v>-0.36833552214581816</c:v>
                </c:pt>
                <c:pt idx="70">
                  <c:v>-4.7889619781277593E-2</c:v>
                </c:pt>
                <c:pt idx="71">
                  <c:v>0.18698566292083144</c:v>
                </c:pt>
                <c:pt idx="72">
                  <c:v>3.6081174570948331E-2</c:v>
                </c:pt>
                <c:pt idx="73">
                  <c:v>0.53374691239037597</c:v>
                </c:pt>
                <c:pt idx="74">
                  <c:v>0.2581708690773924</c:v>
                </c:pt>
                <c:pt idx="75">
                  <c:v>0.44021430043498327</c:v>
                </c:pt>
                <c:pt idx="76">
                  <c:v>2.8568020317057383E-2</c:v>
                </c:pt>
                <c:pt idx="77">
                  <c:v>-0.31575512563195124</c:v>
                </c:pt>
                <c:pt idx="78">
                  <c:v>-0.30907596513945346</c:v>
                </c:pt>
                <c:pt idx="79">
                  <c:v>-0.3396268070506131</c:v>
                </c:pt>
                <c:pt idx="80">
                  <c:v>4.6224972113833467E-2</c:v>
                </c:pt>
                <c:pt idx="81">
                  <c:v>0.96092369541840528</c:v>
                </c:pt>
                <c:pt idx="82">
                  <c:v>0.60467109504467886</c:v>
                </c:pt>
                <c:pt idx="83">
                  <c:v>0.21459511734425032</c:v>
                </c:pt>
                <c:pt idx="84">
                  <c:v>0.44779636312160254</c:v>
                </c:pt>
                <c:pt idx="85">
                  <c:v>-0.16771239220912909</c:v>
                </c:pt>
                <c:pt idx="86">
                  <c:v>-0.31240518550728685</c:v>
                </c:pt>
                <c:pt idx="87">
                  <c:v>-0.27776078492465661</c:v>
                </c:pt>
                <c:pt idx="88">
                  <c:v>-6.1001317757442768E-2</c:v>
                </c:pt>
                <c:pt idx="89">
                  <c:v>-9.6602314250594221E-2</c:v>
                </c:pt>
                <c:pt idx="90">
                  <c:v>-0.72226090186470637</c:v>
                </c:pt>
                <c:pt idx="91">
                  <c:v>1.7053754565827622E-2</c:v>
                </c:pt>
                <c:pt idx="92">
                  <c:v>-0.2017649606186121</c:v>
                </c:pt>
                <c:pt idx="93">
                  <c:v>0.72343387316481766</c:v>
                </c:pt>
                <c:pt idx="94">
                  <c:v>-9.5304579820004787E-2</c:v>
                </c:pt>
                <c:pt idx="95">
                  <c:v>0.46878413596597812</c:v>
                </c:pt>
                <c:pt idx="96">
                  <c:v>-4.6956396549481506E-2</c:v>
                </c:pt>
              </c:numCache>
            </c:numRef>
          </c:yVal>
          <c:smooth val="0"/>
          <c:extLst>
            <c:ext xmlns:c16="http://schemas.microsoft.com/office/drawing/2014/chart" uri="{C3380CC4-5D6E-409C-BE32-E72D297353CC}">
              <c16:uniqueId val="{00000008-D21A-4952-83BD-42E3DD11130C}"/>
            </c:ext>
          </c:extLst>
        </c:ser>
        <c:ser>
          <c:idx val="9"/>
          <c:order val="9"/>
          <c:tx>
            <c:v>Hi 10</c:v>
          </c:tx>
          <c:spPr>
            <a:ln w="19050" cap="rnd">
              <a:solidFill>
                <a:schemeClr val="accent4">
                  <a:lumMod val="60000"/>
                </a:schemeClr>
              </a:solidFill>
              <a:round/>
            </a:ln>
            <a:effectLst/>
          </c:spPr>
          <c:marker>
            <c:symbol val="none"/>
          </c:marker>
          <c:xVal>
            <c:numRef>
              <c:f>LNs!$A$4:$A$100</c:f>
              <c:numCache>
                <c:formatCode>General</c:formatCode>
                <c:ptCount val="97"/>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numCache>
            </c:numRef>
          </c:xVal>
          <c:yVal>
            <c:numRef>
              <c:f>LNs!$K$4:$K$100</c:f>
              <c:numCache>
                <c:formatCode>General</c:formatCode>
                <c:ptCount val="97"/>
                <c:pt idx="0">
                  <c:v>-0.65645466059549773</c:v>
                </c:pt>
                <c:pt idx="1">
                  <c:v>-0.23277983148645565</c:v>
                </c:pt>
                <c:pt idx="2">
                  <c:v>0.62714091614733936</c:v>
                </c:pt>
                <c:pt idx="3">
                  <c:v>0.35935834040791387</c:v>
                </c:pt>
                <c:pt idx="4">
                  <c:v>0.67868815078232558</c:v>
                </c:pt>
                <c:pt idx="5">
                  <c:v>1.0332698889511609</c:v>
                </c:pt>
                <c:pt idx="6">
                  <c:v>0.88375514339754058</c:v>
                </c:pt>
                <c:pt idx="7">
                  <c:v>0.19482637793242907</c:v>
                </c:pt>
                <c:pt idx="8">
                  <c:v>-0.14372719360301692</c:v>
                </c:pt>
                <c:pt idx="9">
                  <c:v>-0.187026206322704</c:v>
                </c:pt>
                <c:pt idx="10">
                  <c:v>0.39535416435743537</c:v>
                </c:pt>
                <c:pt idx="11">
                  <c:v>0.46760700964588658</c:v>
                </c:pt>
                <c:pt idx="12">
                  <c:v>0.14030092753134216</c:v>
                </c:pt>
                <c:pt idx="13">
                  <c:v>5.4440835678246299E-2</c:v>
                </c:pt>
                <c:pt idx="14">
                  <c:v>-0.38210704416841784</c:v>
                </c:pt>
                <c:pt idx="15">
                  <c:v>-0.37869708968753918</c:v>
                </c:pt>
                <c:pt idx="16">
                  <c:v>-0.549119566503672</c:v>
                </c:pt>
                <c:pt idx="17">
                  <c:v>-0.90500465985718748</c:v>
                </c:pt>
                <c:pt idx="18">
                  <c:v>-0.5553279936779606</c:v>
                </c:pt>
                <c:pt idx="19">
                  <c:v>8.4828162176245184E-2</c:v>
                </c:pt>
                <c:pt idx="20">
                  <c:v>-0.40345512946929935</c:v>
                </c:pt>
                <c:pt idx="21">
                  <c:v>-0.28858381223024987</c:v>
                </c:pt>
                <c:pt idx="22">
                  <c:v>-0.59286755076960695</c:v>
                </c:pt>
                <c:pt idx="23">
                  <c:v>-0.23323176667300946</c:v>
                </c:pt>
                <c:pt idx="24">
                  <c:v>-0.53122562945711893</c:v>
                </c:pt>
                <c:pt idx="25">
                  <c:v>-0.76210290987953277</c:v>
                </c:pt>
                <c:pt idx="26">
                  <c:v>-0.62971802454037207</c:v>
                </c:pt>
                <c:pt idx="27">
                  <c:v>-0.66442756528876601</c:v>
                </c:pt>
                <c:pt idx="28">
                  <c:v>-0.18767385482056398</c:v>
                </c:pt>
                <c:pt idx="29">
                  <c:v>-0.32884857075109358</c:v>
                </c:pt>
                <c:pt idx="30">
                  <c:v>-0.16588458697407657</c:v>
                </c:pt>
                <c:pt idx="31">
                  <c:v>-0.53997297733081884</c:v>
                </c:pt>
                <c:pt idx="32">
                  <c:v>-0.50139853208879914</c:v>
                </c:pt>
                <c:pt idx="33">
                  <c:v>-0.40416944783856079</c:v>
                </c:pt>
                <c:pt idx="34">
                  <c:v>-0.65049773684258838</c:v>
                </c:pt>
                <c:pt idx="35">
                  <c:v>7.8875873340900154E-2</c:v>
                </c:pt>
                <c:pt idx="36">
                  <c:v>-0.58578985984495346</c:v>
                </c:pt>
                <c:pt idx="37">
                  <c:v>-1.1073332055604179</c:v>
                </c:pt>
                <c:pt idx="38">
                  <c:v>-0.88799243247048676</c:v>
                </c:pt>
                <c:pt idx="39">
                  <c:v>-0.31469567646007818</c:v>
                </c:pt>
                <c:pt idx="40">
                  <c:v>-0.64612810765666762</c:v>
                </c:pt>
                <c:pt idx="41">
                  <c:v>-0.5316969218874773</c:v>
                </c:pt>
                <c:pt idx="42">
                  <c:v>-0.43272942469635378</c:v>
                </c:pt>
                <c:pt idx="43">
                  <c:v>-2.3612596018287881E-2</c:v>
                </c:pt>
                <c:pt idx="44">
                  <c:v>-0.44879806495740937</c:v>
                </c:pt>
                <c:pt idx="45">
                  <c:v>-0.64172999384736584</c:v>
                </c:pt>
                <c:pt idx="46">
                  <c:v>1.8919884852510768E-2</c:v>
                </c:pt>
                <c:pt idx="47">
                  <c:v>0.37481344224198665</c:v>
                </c:pt>
                <c:pt idx="48">
                  <c:v>3.5636426759385865E-3</c:v>
                </c:pt>
                <c:pt idx="49">
                  <c:v>-0.3394947999669774</c:v>
                </c:pt>
                <c:pt idx="50">
                  <c:v>-0.51802480915936311</c:v>
                </c:pt>
                <c:pt idx="51">
                  <c:v>-0.19523538246338004</c:v>
                </c:pt>
                <c:pt idx="52">
                  <c:v>-0.34149221565834281</c:v>
                </c:pt>
                <c:pt idx="53">
                  <c:v>0.11744520081884267</c:v>
                </c:pt>
                <c:pt idx="54">
                  <c:v>-7.80047856479711E-2</c:v>
                </c:pt>
                <c:pt idx="55">
                  <c:v>0.18615586310390125</c:v>
                </c:pt>
                <c:pt idx="56">
                  <c:v>-0.1464487493202804</c:v>
                </c:pt>
                <c:pt idx="57">
                  <c:v>-0.18424741005945808</c:v>
                </c:pt>
                <c:pt idx="58">
                  <c:v>-0.41707423400141663</c:v>
                </c:pt>
                <c:pt idx="59">
                  <c:v>-5.1240664193596172E-2</c:v>
                </c:pt>
                <c:pt idx="60">
                  <c:v>0.48572317720514924</c:v>
                </c:pt>
                <c:pt idx="61">
                  <c:v>6.4447892030877765E-2</c:v>
                </c:pt>
                <c:pt idx="62">
                  <c:v>-0.17465581382349699</c:v>
                </c:pt>
                <c:pt idx="63">
                  <c:v>2.7440054425390978E-2</c:v>
                </c:pt>
                <c:pt idx="64">
                  <c:v>-0.10201168481198046</c:v>
                </c:pt>
                <c:pt idx="65">
                  <c:v>-0.4953985684096866</c:v>
                </c:pt>
                <c:pt idx="66">
                  <c:v>-0.5735701994308422</c:v>
                </c:pt>
                <c:pt idx="67">
                  <c:v>-0.4691991529236032</c:v>
                </c:pt>
                <c:pt idx="68">
                  <c:v>-0.66741510839491147</c:v>
                </c:pt>
                <c:pt idx="69">
                  <c:v>-0.25741543017322827</c:v>
                </c:pt>
                <c:pt idx="70">
                  <c:v>0.16210184252909679</c:v>
                </c:pt>
                <c:pt idx="71">
                  <c:v>0.27154506854163057</c:v>
                </c:pt>
                <c:pt idx="72">
                  <c:v>0.17761884971373726</c:v>
                </c:pt>
                <c:pt idx="73">
                  <c:v>0.40682418414579541</c:v>
                </c:pt>
                <c:pt idx="74">
                  <c:v>0.3623209750655505</c:v>
                </c:pt>
                <c:pt idx="75">
                  <c:v>0.50370432741836924</c:v>
                </c:pt>
                <c:pt idx="76">
                  <c:v>4.5374814687990289E-2</c:v>
                </c:pt>
                <c:pt idx="77">
                  <c:v>-0.39279521130236544</c:v>
                </c:pt>
                <c:pt idx="78">
                  <c:v>-0.4848216762292904</c:v>
                </c:pt>
                <c:pt idx="79">
                  <c:v>-0.51787709371275892</c:v>
                </c:pt>
                <c:pt idx="80">
                  <c:v>-2.4361342466378402E-2</c:v>
                </c:pt>
                <c:pt idx="81">
                  <c:v>0.88843431974392306</c:v>
                </c:pt>
                <c:pt idx="82">
                  <c:v>0.45700703824995048</c:v>
                </c:pt>
                <c:pt idx="83">
                  <c:v>6.2467628318475174E-2</c:v>
                </c:pt>
                <c:pt idx="84">
                  <c:v>0.34333435264165785</c:v>
                </c:pt>
                <c:pt idx="85">
                  <c:v>-0.25314023691267939</c:v>
                </c:pt>
                <c:pt idx="86">
                  <c:v>-0.41298531410804068</c:v>
                </c:pt>
                <c:pt idx="87">
                  <c:v>-0.33483797275816757</c:v>
                </c:pt>
                <c:pt idx="88">
                  <c:v>-1.034027687223559E-2</c:v>
                </c:pt>
                <c:pt idx="89">
                  <c:v>-0.21587379017803032</c:v>
                </c:pt>
                <c:pt idx="90">
                  <c:v>-0.8743837261914571</c:v>
                </c:pt>
                <c:pt idx="91">
                  <c:v>0.11271242402845112</c:v>
                </c:pt>
                <c:pt idx="92">
                  <c:v>-0.21005211928472775</c:v>
                </c:pt>
                <c:pt idx="93">
                  <c:v>0.63076100812384961</c:v>
                </c:pt>
                <c:pt idx="94">
                  <c:v>-0.16802701234930556</c:v>
                </c:pt>
                <c:pt idx="95">
                  <c:v>0.4543251111086497</c:v>
                </c:pt>
                <c:pt idx="96">
                  <c:v>-0.18030559022077736</c:v>
                </c:pt>
              </c:numCache>
            </c:numRef>
          </c:yVal>
          <c:smooth val="0"/>
          <c:extLst>
            <c:ext xmlns:c16="http://schemas.microsoft.com/office/drawing/2014/chart" uri="{C3380CC4-5D6E-409C-BE32-E72D297353CC}">
              <c16:uniqueId val="{00000009-D21A-4952-83BD-42E3DD11130C}"/>
            </c:ext>
          </c:extLst>
        </c:ser>
        <c:dLbls>
          <c:dLblPos val="t"/>
          <c:showLegendKey val="0"/>
          <c:showVal val="0"/>
          <c:showCatName val="0"/>
          <c:showSerName val="0"/>
          <c:showPercent val="0"/>
          <c:showBubbleSize val="0"/>
        </c:dLbls>
        <c:axId val="233223200"/>
        <c:axId val="233222240"/>
      </c:scatterChart>
      <c:valAx>
        <c:axId val="233223200"/>
        <c:scaling>
          <c:orientation val="minMax"/>
          <c:max val="2027"/>
          <c:min val="19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22240"/>
        <c:crosses val="autoZero"/>
        <c:crossBetween val="midCat"/>
      </c:valAx>
      <c:valAx>
        <c:axId val="23322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a:t>
                </a:r>
                <a:r>
                  <a:rPr lang="en-US" baseline="0"/>
                  <a:t> of Standard Deviations per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2232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Q-Q</a:t>
            </a:r>
            <a:r>
              <a:rPr lang="en-US" baseline="0"/>
              <a:t> Plot for Lo 10 on 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6.8159762274938557E-2"/>
          <c:y val="0.12204661011576451"/>
          <c:w val="0.88484607218683653"/>
          <c:h val="0.78541278354698418"/>
        </c:manualLayout>
      </c:layout>
      <c:scatterChart>
        <c:scatterStyle val="lineMarker"/>
        <c:varyColors val="0"/>
        <c:ser>
          <c:idx val="0"/>
          <c:order val="0"/>
          <c:tx>
            <c:strRef>
              <c:f>'Lo 10 Test'!$E$2</c:f>
              <c:strCache>
                <c:ptCount val="1"/>
                <c:pt idx="0">
                  <c:v>Rank-Based Z Scores</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'Lo 10 Test'!$B$3:$B$104</c:f>
              <c:numCache>
                <c:formatCode>General</c:formatCode>
                <c:ptCount val="102"/>
                <c:pt idx="0">
                  <c:v>-1.1478193397228051</c:v>
                </c:pt>
                <c:pt idx="1">
                  <c:v>-1.0216901371770628</c:v>
                </c:pt>
                <c:pt idx="2">
                  <c:v>-0.96812627851704747</c:v>
                </c:pt>
                <c:pt idx="3">
                  <c:v>-0.93950562433092755</c:v>
                </c:pt>
                <c:pt idx="4">
                  <c:v>-0.83601805064656365</c:v>
                </c:pt>
                <c:pt idx="5">
                  <c:v>-0.82178542134476706</c:v>
                </c:pt>
                <c:pt idx="6">
                  <c:v>-0.8140320218454159</c:v>
                </c:pt>
                <c:pt idx="7">
                  <c:v>-0.79497616165539009</c:v>
                </c:pt>
                <c:pt idx="8">
                  <c:v>-0.76420718709915847</c:v>
                </c:pt>
                <c:pt idx="9">
                  <c:v>-0.74244037122599416</c:v>
                </c:pt>
                <c:pt idx="10">
                  <c:v>-0.71334376544722722</c:v>
                </c:pt>
                <c:pt idx="11">
                  <c:v>-0.68339092794468081</c:v>
                </c:pt>
                <c:pt idx="12">
                  <c:v>-0.66441784844724483</c:v>
                </c:pt>
                <c:pt idx="13">
                  <c:v>-0.64682291135486203</c:v>
                </c:pt>
                <c:pt idx="14">
                  <c:v>-0.64612619952008687</c:v>
                </c:pt>
                <c:pt idx="15">
                  <c:v>-0.64372483530670921</c:v>
                </c:pt>
                <c:pt idx="16">
                  <c:v>-0.62055864788424075</c:v>
                </c:pt>
                <c:pt idx="17">
                  <c:v>-0.61628058832841881</c:v>
                </c:pt>
                <c:pt idx="18">
                  <c:v>-0.61384074386737841</c:v>
                </c:pt>
                <c:pt idx="19">
                  <c:v>-0.60840721460565172</c:v>
                </c:pt>
                <c:pt idx="20">
                  <c:v>-0.58049729701530994</c:v>
                </c:pt>
                <c:pt idx="21">
                  <c:v>-0.54990608008905451</c:v>
                </c:pt>
                <c:pt idx="22">
                  <c:v>-0.53169181644737562</c:v>
                </c:pt>
                <c:pt idx="23">
                  <c:v>-0.52157991103886614</c:v>
                </c:pt>
                <c:pt idx="24">
                  <c:v>-0.49107201727915434</c:v>
                </c:pt>
                <c:pt idx="25">
                  <c:v>-0.46696824070221421</c:v>
                </c:pt>
                <c:pt idx="26">
                  <c:v>-0.45525059244441685</c:v>
                </c:pt>
                <c:pt idx="27">
                  <c:v>-0.44958001832921285</c:v>
                </c:pt>
                <c:pt idx="28">
                  <c:v>-0.43266314415236662</c:v>
                </c:pt>
                <c:pt idx="29">
                  <c:v>-0.42073814948523031</c:v>
                </c:pt>
                <c:pt idx="30">
                  <c:v>-0.41689518324308328</c:v>
                </c:pt>
                <c:pt idx="31">
                  <c:v>-0.39712795892126285</c:v>
                </c:pt>
                <c:pt idx="32">
                  <c:v>-0.38221841840942955</c:v>
                </c:pt>
                <c:pt idx="33">
                  <c:v>-0.35146852091136344</c:v>
                </c:pt>
                <c:pt idx="34">
                  <c:v>-0.3456855491391308</c:v>
                </c:pt>
                <c:pt idx="35">
                  <c:v>-0.33224159840463702</c:v>
                </c:pt>
                <c:pt idx="36">
                  <c:v>-0.31175484385006785</c:v>
                </c:pt>
                <c:pt idx="37">
                  <c:v>-0.28549247137878858</c:v>
                </c:pt>
                <c:pt idx="38">
                  <c:v>-0.28282853660234986</c:v>
                </c:pt>
                <c:pt idx="39">
                  <c:v>-0.27398957732012452</c:v>
                </c:pt>
                <c:pt idx="40">
                  <c:v>-0.25450522775722373</c:v>
                </c:pt>
                <c:pt idx="41">
                  <c:v>-0.25406420545523778</c:v>
                </c:pt>
                <c:pt idx="42">
                  <c:v>-0.24666681660769854</c:v>
                </c:pt>
                <c:pt idx="43">
                  <c:v>-0.24418972649565446</c:v>
                </c:pt>
                <c:pt idx="44">
                  <c:v>-0.22505788247744032</c:v>
                </c:pt>
                <c:pt idx="45">
                  <c:v>-0.2150935397760764</c:v>
                </c:pt>
                <c:pt idx="46">
                  <c:v>-0.20766644206790788</c:v>
                </c:pt>
                <c:pt idx="47">
                  <c:v>-0.18766661620690314</c:v>
                </c:pt>
                <c:pt idx="48">
                  <c:v>-0.10794941953490671</c:v>
                </c:pt>
                <c:pt idx="49">
                  <c:v>-7.8032895366691932E-2</c:v>
                </c:pt>
                <c:pt idx="50">
                  <c:v>-7.7238559640826585E-2</c:v>
                </c:pt>
                <c:pt idx="51">
                  <c:v>-7.5383246508965815E-2</c:v>
                </c:pt>
                <c:pt idx="52">
                  <c:v>-6.3753762474548378E-2</c:v>
                </c:pt>
                <c:pt idx="53">
                  <c:v>-6.2813077239083442E-2</c:v>
                </c:pt>
                <c:pt idx="54">
                  <c:v>-5.6284678011233616E-2</c:v>
                </c:pt>
                <c:pt idx="55">
                  <c:v>-5.3320611164088524E-2</c:v>
                </c:pt>
                <c:pt idx="56">
                  <c:v>-5.2731169740292336E-2</c:v>
                </c:pt>
                <c:pt idx="57">
                  <c:v>-3.4445492688223001E-2</c:v>
                </c:pt>
                <c:pt idx="58">
                  <c:v>-2.4437170218552275E-2</c:v>
                </c:pt>
                <c:pt idx="59">
                  <c:v>-1.3420655470072092E-2</c:v>
                </c:pt>
                <c:pt idx="60">
                  <c:v>-9.8543954551155253E-3</c:v>
                </c:pt>
                <c:pt idx="61">
                  <c:v>-4.7844271401595966E-3</c:v>
                </c:pt>
                <c:pt idx="62">
                  <c:v>1.8291682472166292E-2</c:v>
                </c:pt>
                <c:pt idx="63">
                  <c:v>2.1565777914560585E-2</c:v>
                </c:pt>
                <c:pt idx="64">
                  <c:v>5.9409766531432283E-2</c:v>
                </c:pt>
                <c:pt idx="65">
                  <c:v>8.5581188090205845E-2</c:v>
                </c:pt>
                <c:pt idx="66">
                  <c:v>0.10666366618821835</c:v>
                </c:pt>
                <c:pt idx="67">
                  <c:v>0.10713094751804886</c:v>
                </c:pt>
                <c:pt idx="68">
                  <c:v>0.13373512187031039</c:v>
                </c:pt>
                <c:pt idx="69">
                  <c:v>0.17733414028290767</c:v>
                </c:pt>
                <c:pt idx="70">
                  <c:v>0.20810300727944708</c:v>
                </c:pt>
                <c:pt idx="71">
                  <c:v>0.2390090264237516</c:v>
                </c:pt>
                <c:pt idx="72">
                  <c:v>0.24807808585861763</c:v>
                </c:pt>
                <c:pt idx="73">
                  <c:v>0.26014642225725998</c:v>
                </c:pt>
                <c:pt idx="74">
                  <c:v>0.32982159864587302</c:v>
                </c:pt>
                <c:pt idx="75">
                  <c:v>0.36417077983366009</c:v>
                </c:pt>
                <c:pt idx="76">
                  <c:v>0.38622792092059149</c:v>
                </c:pt>
                <c:pt idx="77">
                  <c:v>0.42230911463305615</c:v>
                </c:pt>
                <c:pt idx="78">
                  <c:v>0.46494711660624294</c:v>
                </c:pt>
                <c:pt idx="79">
                  <c:v>0.50388559739632766</c:v>
                </c:pt>
                <c:pt idx="80">
                  <c:v>0.53042823105950332</c:v>
                </c:pt>
                <c:pt idx="81">
                  <c:v>0.53066942668503103</c:v>
                </c:pt>
                <c:pt idx="82">
                  <c:v>0.53853806233252643</c:v>
                </c:pt>
                <c:pt idx="83">
                  <c:v>0.55836357567336936</c:v>
                </c:pt>
                <c:pt idx="84">
                  <c:v>0.59704368616479575</c:v>
                </c:pt>
                <c:pt idx="85">
                  <c:v>0.60881947203587838</c:v>
                </c:pt>
                <c:pt idx="86">
                  <c:v>0.61038494498699514</c:v>
                </c:pt>
                <c:pt idx="87">
                  <c:v>0.6261790436281528</c:v>
                </c:pt>
                <c:pt idx="88">
                  <c:v>0.6644441620310394</c:v>
                </c:pt>
                <c:pt idx="89">
                  <c:v>0.68673164495048022</c:v>
                </c:pt>
                <c:pt idx="90">
                  <c:v>0.69196648381178283</c:v>
                </c:pt>
                <c:pt idx="91">
                  <c:v>0.70390411671264597</c:v>
                </c:pt>
                <c:pt idx="92">
                  <c:v>0.76715014720078134</c:v>
                </c:pt>
                <c:pt idx="93">
                  <c:v>0.78482805512350173</c:v>
                </c:pt>
                <c:pt idx="94">
                  <c:v>0.85715624924863132</c:v>
                </c:pt>
                <c:pt idx="95">
                  <c:v>1.0276675134559128</c:v>
                </c:pt>
                <c:pt idx="96">
                  <c:v>1.1145118841991208</c:v>
                </c:pt>
                <c:pt idx="97">
                  <c:v>1.1368485430418493</c:v>
                </c:pt>
                <c:pt idx="98">
                  <c:v>1.2231958519335453</c:v>
                </c:pt>
              </c:numCache>
            </c:numRef>
          </c:xVal>
          <c:yVal>
            <c:numRef>
              <c:f>'Lo 10 Test'!$E$3:$E$104</c:f>
              <c:numCache>
                <c:formatCode>General</c:formatCode>
                <c:ptCount val="102"/>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A02A-470E-8C2B-41221C3B3C1F}"/>
            </c:ext>
          </c:extLst>
        </c:ser>
        <c:dLbls>
          <c:showLegendKey val="0"/>
          <c:showVal val="0"/>
          <c:showCatName val="0"/>
          <c:showSerName val="0"/>
          <c:showPercent val="0"/>
          <c:showBubbleSize val="0"/>
        </c:dLbls>
        <c:axId val="1559765536"/>
        <c:axId val="1559766016"/>
      </c:scatterChart>
      <c:valAx>
        <c:axId val="155976553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Lo 10 Points</a:t>
                </a:r>
              </a:p>
            </c:rich>
          </c:tx>
          <c:layout>
            <c:manualLayout>
              <c:xMode val="edge"/>
              <c:yMode val="edge"/>
              <c:x val="0.42935265058428201"/>
              <c:y val="0.915510923453408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9766016"/>
        <c:crosses val="autoZero"/>
        <c:crossBetween val="midCat"/>
      </c:valAx>
      <c:valAx>
        <c:axId val="15597660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Rank-Based</a:t>
                </a:r>
                <a:r>
                  <a:rPr lang="en-US" baseline="0"/>
                  <a:t> Z Scores</a:t>
                </a:r>
                <a:endParaRPr lang="en-US"/>
              </a:p>
            </c:rich>
          </c:tx>
          <c:layout>
            <c:manualLayout>
              <c:xMode val="edge"/>
              <c:yMode val="edge"/>
              <c:x val="0"/>
              <c:y val="0.2989517161804049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9765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Q-Q Plot</a:t>
            </a:r>
            <a:r>
              <a:rPr lang="en-US" baseline="0">
                <a:solidFill>
                  <a:sysClr val="windowText" lastClr="000000">
                    <a:lumMod val="65000"/>
                    <a:lumOff val="35000"/>
                  </a:sysClr>
                </a:solidFill>
              </a:rPr>
              <a:t> </a:t>
            </a:r>
            <a:endParaRPr lang="en-US">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5.3186326669420692E-2"/>
          <c:y val="0.11710950080515299"/>
          <c:w val="0.90787631077116948"/>
          <c:h val="0.80640096618357493"/>
        </c:manualLayout>
      </c:layout>
      <c:scatterChart>
        <c:scatterStyle val="lineMarker"/>
        <c:varyColors val="0"/>
        <c:ser>
          <c:idx val="0"/>
          <c:order val="0"/>
          <c:tx>
            <c:strRef>
              <c:f>'Dec 2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19050" cap="sq">
                <a:solidFill>
                  <a:srgbClr val="FF0000"/>
                </a:solidFill>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rendlineLbl>
          </c:trendline>
          <c:xVal>
            <c:numRef>
              <c:f>'Dec 2 Test'!$B$3:$B$103</c:f>
              <c:numCache>
                <c:formatCode>General</c:formatCode>
                <c:ptCount val="101"/>
                <c:pt idx="0">
                  <c:v>-1.0432040721971021</c:v>
                </c:pt>
                <c:pt idx="1">
                  <c:v>-0.90846146075982193</c:v>
                </c:pt>
                <c:pt idx="2">
                  <c:v>-0.8597355555009023</c:v>
                </c:pt>
                <c:pt idx="3">
                  <c:v>-0.82028988154672766</c:v>
                </c:pt>
                <c:pt idx="4">
                  <c:v>-0.74398794577532112</c:v>
                </c:pt>
                <c:pt idx="5">
                  <c:v>-0.7357060993268093</c:v>
                </c:pt>
                <c:pt idx="6">
                  <c:v>-0.70498294773161518</c:v>
                </c:pt>
                <c:pt idx="7">
                  <c:v>-0.69744038318003265</c:v>
                </c:pt>
                <c:pt idx="8">
                  <c:v>-0.67848322384128557</c:v>
                </c:pt>
                <c:pt idx="9">
                  <c:v>-0.65544107538491403</c:v>
                </c:pt>
                <c:pt idx="10">
                  <c:v>-0.64005770028054187</c:v>
                </c:pt>
                <c:pt idx="11">
                  <c:v>-0.62768908236299048</c:v>
                </c:pt>
                <c:pt idx="12">
                  <c:v>-0.60631465289623621</c:v>
                </c:pt>
                <c:pt idx="13">
                  <c:v>-0.59708819027508897</c:v>
                </c:pt>
                <c:pt idx="14">
                  <c:v>-0.58904665836059089</c:v>
                </c:pt>
                <c:pt idx="15">
                  <c:v>-0.56555111720541351</c:v>
                </c:pt>
                <c:pt idx="16">
                  <c:v>-0.54377245891477166</c:v>
                </c:pt>
                <c:pt idx="17">
                  <c:v>-0.52697194350869503</c:v>
                </c:pt>
                <c:pt idx="18">
                  <c:v>-0.52127839748910676</c:v>
                </c:pt>
                <c:pt idx="19">
                  <c:v>-0.51530396993898264</c:v>
                </c:pt>
                <c:pt idx="20">
                  <c:v>-0.50255822640311931</c:v>
                </c:pt>
                <c:pt idx="21">
                  <c:v>-0.50036882053154863</c:v>
                </c:pt>
                <c:pt idx="22">
                  <c:v>-0.47845040300759123</c:v>
                </c:pt>
                <c:pt idx="23">
                  <c:v>-0.42367745057783202</c:v>
                </c:pt>
                <c:pt idx="24">
                  <c:v>-0.38390813821830166</c:v>
                </c:pt>
                <c:pt idx="25">
                  <c:v>-0.3253742477478333</c:v>
                </c:pt>
                <c:pt idx="26">
                  <c:v>-0.30148354276546119</c:v>
                </c:pt>
                <c:pt idx="27">
                  <c:v>-0.29169410992164113</c:v>
                </c:pt>
                <c:pt idx="28">
                  <c:v>-0.26531150331231129</c:v>
                </c:pt>
                <c:pt idx="29">
                  <c:v>-0.26332512594706475</c:v>
                </c:pt>
                <c:pt idx="30">
                  <c:v>-0.25769100119240496</c:v>
                </c:pt>
                <c:pt idx="31">
                  <c:v>-0.25545111544262056</c:v>
                </c:pt>
                <c:pt idx="32">
                  <c:v>-0.241560863602471</c:v>
                </c:pt>
                <c:pt idx="33">
                  <c:v>-0.24149338442709187</c:v>
                </c:pt>
                <c:pt idx="34">
                  <c:v>-0.23512630864754366</c:v>
                </c:pt>
                <c:pt idx="35">
                  <c:v>-0.22348736040978412</c:v>
                </c:pt>
                <c:pt idx="36">
                  <c:v>-0.22273113636894554</c:v>
                </c:pt>
                <c:pt idx="37">
                  <c:v>-0.2163044910914565</c:v>
                </c:pt>
                <c:pt idx="38">
                  <c:v>-0.1955381119550092</c:v>
                </c:pt>
                <c:pt idx="39">
                  <c:v>-0.15575129345941235</c:v>
                </c:pt>
                <c:pt idx="40">
                  <c:v>-0.15100313853656253</c:v>
                </c:pt>
                <c:pt idx="41">
                  <c:v>-0.12943465287685868</c:v>
                </c:pt>
                <c:pt idx="42">
                  <c:v>-0.12412434935361898</c:v>
                </c:pt>
                <c:pt idx="43">
                  <c:v>-0.10150130533210587</c:v>
                </c:pt>
                <c:pt idx="44">
                  <c:v>-9.4915257796287678E-2</c:v>
                </c:pt>
                <c:pt idx="45">
                  <c:v>-7.0152114578230063E-2</c:v>
                </c:pt>
                <c:pt idx="46">
                  <c:v>-5.3300570777434969E-2</c:v>
                </c:pt>
                <c:pt idx="47">
                  <c:v>-3.7970854552054956E-2</c:v>
                </c:pt>
                <c:pt idx="48">
                  <c:v>-3.2053260818063777E-2</c:v>
                </c:pt>
                <c:pt idx="49">
                  <c:v>-2.1634343865151645E-2</c:v>
                </c:pt>
                <c:pt idx="50">
                  <c:v>-1.2181898950123707E-2</c:v>
                </c:pt>
                <c:pt idx="51">
                  <c:v>2.8120875716654753E-2</c:v>
                </c:pt>
                <c:pt idx="52">
                  <c:v>3.0257587160697031E-2</c:v>
                </c:pt>
                <c:pt idx="53">
                  <c:v>4.3902046287128751E-2</c:v>
                </c:pt>
                <c:pt idx="54">
                  <c:v>4.6425465710644195E-2</c:v>
                </c:pt>
                <c:pt idx="55">
                  <c:v>5.2677835468045303E-2</c:v>
                </c:pt>
                <c:pt idx="56">
                  <c:v>9.0023502647588557E-2</c:v>
                </c:pt>
                <c:pt idx="57">
                  <c:v>9.1712807923199441E-2</c:v>
                </c:pt>
                <c:pt idx="58">
                  <c:v>0.11060175632779577</c:v>
                </c:pt>
                <c:pt idx="59">
                  <c:v>0.13486300563425319</c:v>
                </c:pt>
                <c:pt idx="60">
                  <c:v>0.13889199886661865</c:v>
                </c:pt>
                <c:pt idx="61">
                  <c:v>0.14355474061385484</c:v>
                </c:pt>
                <c:pt idx="62">
                  <c:v>0.15506169329986921</c:v>
                </c:pt>
                <c:pt idx="63">
                  <c:v>0.16823108403526271</c:v>
                </c:pt>
                <c:pt idx="64">
                  <c:v>0.18409498334309626</c:v>
                </c:pt>
                <c:pt idx="65">
                  <c:v>0.19780933293885997</c:v>
                </c:pt>
                <c:pt idx="66">
                  <c:v>0.20491440544658912</c:v>
                </c:pt>
                <c:pt idx="67">
                  <c:v>0.20904462693470807</c:v>
                </c:pt>
                <c:pt idx="68">
                  <c:v>0.22839374489633771</c:v>
                </c:pt>
                <c:pt idx="69">
                  <c:v>0.25815541969343636</c:v>
                </c:pt>
                <c:pt idx="70">
                  <c:v>0.28162375786781696</c:v>
                </c:pt>
                <c:pt idx="71">
                  <c:v>0.29635683764161586</c:v>
                </c:pt>
                <c:pt idx="72">
                  <c:v>0.30932124755526214</c:v>
                </c:pt>
                <c:pt idx="73">
                  <c:v>0.30957809530100044</c:v>
                </c:pt>
                <c:pt idx="74">
                  <c:v>0.36437918987422074</c:v>
                </c:pt>
                <c:pt idx="75">
                  <c:v>0.37262506180177329</c:v>
                </c:pt>
                <c:pt idx="76">
                  <c:v>0.38768124174223734</c:v>
                </c:pt>
                <c:pt idx="77">
                  <c:v>0.45141950926788976</c:v>
                </c:pt>
                <c:pt idx="78">
                  <c:v>0.47160859060593824</c:v>
                </c:pt>
                <c:pt idx="79">
                  <c:v>0.49144706653938713</c:v>
                </c:pt>
                <c:pt idx="80">
                  <c:v>0.49301189729465528</c:v>
                </c:pt>
                <c:pt idx="81">
                  <c:v>0.4957992917893474</c:v>
                </c:pt>
                <c:pt idx="82">
                  <c:v>0.50590754984202291</c:v>
                </c:pt>
                <c:pt idx="83">
                  <c:v>0.53986195944856175</c:v>
                </c:pt>
                <c:pt idx="84">
                  <c:v>0.56354520052908474</c:v>
                </c:pt>
                <c:pt idx="85">
                  <c:v>0.57123375156105072</c:v>
                </c:pt>
                <c:pt idx="86">
                  <c:v>0.57594460140608594</c:v>
                </c:pt>
                <c:pt idx="87">
                  <c:v>0.64681524247545641</c:v>
                </c:pt>
                <c:pt idx="88">
                  <c:v>0.70682816761580947</c:v>
                </c:pt>
                <c:pt idx="89">
                  <c:v>0.79253087052646387</c:v>
                </c:pt>
                <c:pt idx="90">
                  <c:v>0.80522061408225032</c:v>
                </c:pt>
                <c:pt idx="91">
                  <c:v>0.80784546325440454</c:v>
                </c:pt>
                <c:pt idx="92">
                  <c:v>0.93684993563926411</c:v>
                </c:pt>
                <c:pt idx="93">
                  <c:v>0.95228702138713761</c:v>
                </c:pt>
                <c:pt idx="94">
                  <c:v>0.96021191893208324</c:v>
                </c:pt>
                <c:pt idx="95">
                  <c:v>0.96301399957921918</c:v>
                </c:pt>
                <c:pt idx="96">
                  <c:v>1.059070724047501</c:v>
                </c:pt>
                <c:pt idx="97">
                  <c:v>1.0973147806017989</c:v>
                </c:pt>
                <c:pt idx="98">
                  <c:v>1.2376464300284662</c:v>
                </c:pt>
              </c:numCache>
            </c:numRef>
          </c:xVal>
          <c:yVal>
            <c:numRef>
              <c:f>'Dec 2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9A0D-4DF7-A23D-2AD8682037E6}"/>
            </c:ext>
          </c:extLst>
        </c:ser>
        <c:dLbls>
          <c:showLegendKey val="0"/>
          <c:showVal val="0"/>
          <c:showCatName val="0"/>
          <c:showSerName val="0"/>
          <c:showPercent val="0"/>
          <c:showBubbleSize val="0"/>
        </c:dLbls>
        <c:axId val="1714881183"/>
        <c:axId val="1714883103"/>
      </c:scatterChart>
      <c:valAx>
        <c:axId val="1714881183"/>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14883103"/>
        <c:crosses val="autoZero"/>
        <c:crossBetween val="midCat"/>
      </c:valAx>
      <c:valAx>
        <c:axId val="17148831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881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3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3 Test'!$B$3:$B$103</c:f>
              <c:numCache>
                <c:formatCode>General</c:formatCode>
                <c:ptCount val="101"/>
                <c:pt idx="0">
                  <c:v>-1.0109696109906989</c:v>
                </c:pt>
                <c:pt idx="1">
                  <c:v>-0.92986748023806032</c:v>
                </c:pt>
                <c:pt idx="2">
                  <c:v>-0.72093778698150823</c:v>
                </c:pt>
                <c:pt idx="3">
                  <c:v>-0.72089049180303721</c:v>
                </c:pt>
                <c:pt idx="4">
                  <c:v>-0.70422835057076283</c:v>
                </c:pt>
                <c:pt idx="5">
                  <c:v>-0.66427987948615563</c:v>
                </c:pt>
                <c:pt idx="6">
                  <c:v>-0.64069515775753438</c:v>
                </c:pt>
                <c:pt idx="7">
                  <c:v>-0.62779773830779528</c:v>
                </c:pt>
                <c:pt idx="8">
                  <c:v>-0.60797549476491031</c:v>
                </c:pt>
                <c:pt idx="9">
                  <c:v>-0.58416363600468324</c:v>
                </c:pt>
                <c:pt idx="10">
                  <c:v>-0.5804311829076968</c:v>
                </c:pt>
                <c:pt idx="11">
                  <c:v>-0.57576956040665561</c:v>
                </c:pt>
                <c:pt idx="12">
                  <c:v>-0.56777170720845715</c:v>
                </c:pt>
                <c:pt idx="13">
                  <c:v>-0.56585219395320663</c:v>
                </c:pt>
                <c:pt idx="14">
                  <c:v>-0.56525189096702455</c:v>
                </c:pt>
                <c:pt idx="15">
                  <c:v>-0.55092218703069262</c:v>
                </c:pt>
                <c:pt idx="16">
                  <c:v>-0.52820409171216876</c:v>
                </c:pt>
                <c:pt idx="17">
                  <c:v>-0.51470982418173861</c:v>
                </c:pt>
                <c:pt idx="18">
                  <c:v>-0.49580073156038379</c:v>
                </c:pt>
                <c:pt idx="19">
                  <c:v>-0.45587826361580691</c:v>
                </c:pt>
                <c:pt idx="20">
                  <c:v>-0.44934176335764831</c:v>
                </c:pt>
                <c:pt idx="21">
                  <c:v>-0.4366988422653561</c:v>
                </c:pt>
                <c:pt idx="22">
                  <c:v>-0.43587431684283123</c:v>
                </c:pt>
                <c:pt idx="23">
                  <c:v>-0.42446904444290218</c:v>
                </c:pt>
                <c:pt idx="24">
                  <c:v>-0.42005756196121502</c:v>
                </c:pt>
                <c:pt idx="25">
                  <c:v>-0.34194397933873821</c:v>
                </c:pt>
                <c:pt idx="26">
                  <c:v>-0.32777655389608351</c:v>
                </c:pt>
                <c:pt idx="27">
                  <c:v>-0.31667157011126923</c:v>
                </c:pt>
                <c:pt idx="28">
                  <c:v>-0.29907472294803272</c:v>
                </c:pt>
                <c:pt idx="29">
                  <c:v>-0.28294265458985707</c:v>
                </c:pt>
                <c:pt idx="30">
                  <c:v>-0.25472194155138878</c:v>
                </c:pt>
                <c:pt idx="31">
                  <c:v>-0.2535808518223831</c:v>
                </c:pt>
                <c:pt idx="32">
                  <c:v>-0.24047919910820015</c:v>
                </c:pt>
                <c:pt idx="33">
                  <c:v>-0.23914590879171554</c:v>
                </c:pt>
                <c:pt idx="34">
                  <c:v>-0.23829526091496928</c:v>
                </c:pt>
                <c:pt idx="35">
                  <c:v>-0.21354229128016164</c:v>
                </c:pt>
                <c:pt idx="36">
                  <c:v>-0.20573226137959572</c:v>
                </c:pt>
                <c:pt idx="37">
                  <c:v>-0.20226429790561654</c:v>
                </c:pt>
                <c:pt idx="38">
                  <c:v>-0.19849972040144978</c:v>
                </c:pt>
                <c:pt idx="39">
                  <c:v>-0.18837624950834575</c:v>
                </c:pt>
                <c:pt idx="40">
                  <c:v>-0.18293534512347795</c:v>
                </c:pt>
                <c:pt idx="41">
                  <c:v>-0.16341226958370392</c:v>
                </c:pt>
                <c:pt idx="42">
                  <c:v>-0.12482993180833976</c:v>
                </c:pt>
                <c:pt idx="43">
                  <c:v>-0.11713287205854826</c:v>
                </c:pt>
                <c:pt idx="44">
                  <c:v>-0.10093698059804704</c:v>
                </c:pt>
                <c:pt idx="45">
                  <c:v>-0.10016404075100878</c:v>
                </c:pt>
                <c:pt idx="46">
                  <c:v>-9.9217202286361647E-2</c:v>
                </c:pt>
                <c:pt idx="47">
                  <c:v>-3.8628568505532854E-2</c:v>
                </c:pt>
                <c:pt idx="48">
                  <c:v>-2.9637895369323351E-2</c:v>
                </c:pt>
                <c:pt idx="49">
                  <c:v>-2.180092255889552E-2</c:v>
                </c:pt>
                <c:pt idx="50">
                  <c:v>-2.1783709280506552E-3</c:v>
                </c:pt>
                <c:pt idx="51">
                  <c:v>2.2583072000257977E-2</c:v>
                </c:pt>
                <c:pt idx="52">
                  <c:v>2.6417952603216673E-2</c:v>
                </c:pt>
                <c:pt idx="53">
                  <c:v>3.0635891875102302E-2</c:v>
                </c:pt>
                <c:pt idx="54">
                  <c:v>3.9076471981792843E-2</c:v>
                </c:pt>
                <c:pt idx="55">
                  <c:v>4.0969183687398152E-2</c:v>
                </c:pt>
                <c:pt idx="56">
                  <c:v>6.0888116510423473E-2</c:v>
                </c:pt>
                <c:pt idx="57">
                  <c:v>7.0486422251192213E-2</c:v>
                </c:pt>
                <c:pt idx="58">
                  <c:v>8.4111342618652427E-2</c:v>
                </c:pt>
                <c:pt idx="59">
                  <c:v>0.10089455809822551</c:v>
                </c:pt>
                <c:pt idx="60">
                  <c:v>0.10834306343697876</c:v>
                </c:pt>
                <c:pt idx="61">
                  <c:v>0.11047640714061063</c:v>
                </c:pt>
                <c:pt idx="62">
                  <c:v>0.1292723357041391</c:v>
                </c:pt>
                <c:pt idx="63">
                  <c:v>0.13016824357339396</c:v>
                </c:pt>
                <c:pt idx="64">
                  <c:v>0.14837690074101711</c:v>
                </c:pt>
                <c:pt idx="65">
                  <c:v>0.16434426256329229</c:v>
                </c:pt>
                <c:pt idx="66">
                  <c:v>0.17899101669749873</c:v>
                </c:pt>
                <c:pt idx="67">
                  <c:v>0.20013691666395611</c:v>
                </c:pt>
                <c:pt idx="68">
                  <c:v>0.20442545570088086</c:v>
                </c:pt>
                <c:pt idx="69">
                  <c:v>0.21626394096931148</c:v>
                </c:pt>
                <c:pt idx="70">
                  <c:v>0.24567969405249993</c:v>
                </c:pt>
                <c:pt idx="71">
                  <c:v>0.24901400656086586</c:v>
                </c:pt>
                <c:pt idx="72">
                  <c:v>0.27232982749710904</c:v>
                </c:pt>
                <c:pt idx="73">
                  <c:v>0.31711465313548659</c:v>
                </c:pt>
                <c:pt idx="74">
                  <c:v>0.32347383654983841</c:v>
                </c:pt>
                <c:pt idx="75">
                  <c:v>0.35278840110614901</c:v>
                </c:pt>
                <c:pt idx="76">
                  <c:v>0.36399707161439271</c:v>
                </c:pt>
                <c:pt idx="77">
                  <c:v>0.39277830318942408</c:v>
                </c:pt>
                <c:pt idx="78">
                  <c:v>0.42431303145350857</c:v>
                </c:pt>
                <c:pt idx="79">
                  <c:v>0.4371252608360332</c:v>
                </c:pt>
                <c:pt idx="80">
                  <c:v>0.44324889193691597</c:v>
                </c:pt>
                <c:pt idx="81">
                  <c:v>0.45480750072377757</c:v>
                </c:pt>
                <c:pt idx="82">
                  <c:v>0.45848757328448797</c:v>
                </c:pt>
                <c:pt idx="83">
                  <c:v>0.47858544985835488</c:v>
                </c:pt>
                <c:pt idx="84">
                  <c:v>0.49992037712583343</c:v>
                </c:pt>
                <c:pt idx="85">
                  <c:v>0.53187453295369802</c:v>
                </c:pt>
                <c:pt idx="86">
                  <c:v>0.54776296277279923</c:v>
                </c:pt>
                <c:pt idx="87">
                  <c:v>0.60931438289404538</c:v>
                </c:pt>
                <c:pt idx="88">
                  <c:v>0.61397950659938505</c:v>
                </c:pt>
                <c:pt idx="89">
                  <c:v>0.6870385608755365</c:v>
                </c:pt>
                <c:pt idx="90">
                  <c:v>0.7325553761372986</c:v>
                </c:pt>
                <c:pt idx="91">
                  <c:v>0.74537428880758594</c:v>
                </c:pt>
                <c:pt idx="92">
                  <c:v>0.75033531618041971</c:v>
                </c:pt>
                <c:pt idx="93">
                  <c:v>0.832326344457058</c:v>
                </c:pt>
                <c:pt idx="94">
                  <c:v>0.84238150919921617</c:v>
                </c:pt>
                <c:pt idx="95">
                  <c:v>0.96587676972828007</c:v>
                </c:pt>
                <c:pt idx="96">
                  <c:v>0.98496568616412272</c:v>
                </c:pt>
                <c:pt idx="97">
                  <c:v>1.0297372673794081</c:v>
                </c:pt>
                <c:pt idx="98">
                  <c:v>1.1992446441726439</c:v>
                </c:pt>
              </c:numCache>
            </c:numRef>
          </c:xVal>
          <c:yVal>
            <c:numRef>
              <c:f>'Dec 3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DDFD-4509-AE56-937584A620C7}"/>
            </c:ext>
          </c:extLst>
        </c:ser>
        <c:dLbls>
          <c:showLegendKey val="0"/>
          <c:showVal val="0"/>
          <c:showCatName val="0"/>
          <c:showSerName val="0"/>
          <c:showPercent val="0"/>
          <c:showBubbleSize val="0"/>
        </c:dLbls>
        <c:axId val="1899400591"/>
        <c:axId val="1899409231"/>
      </c:scatterChart>
      <c:valAx>
        <c:axId val="189940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99409231"/>
        <c:crosses val="autoZero"/>
        <c:crossBetween val="midCat"/>
      </c:valAx>
      <c:valAx>
        <c:axId val="189940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400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4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4 Test'!$B$3:$B$103</c:f>
              <c:numCache>
                <c:formatCode>General</c:formatCode>
                <c:ptCount val="101"/>
                <c:pt idx="0">
                  <c:v>-0.94537202314221325</c:v>
                </c:pt>
                <c:pt idx="1">
                  <c:v>-0.93437323942492068</c:v>
                </c:pt>
                <c:pt idx="2">
                  <c:v>-0.75341749015237014</c:v>
                </c:pt>
                <c:pt idx="3">
                  <c:v>-0.73775759207849423</c:v>
                </c:pt>
                <c:pt idx="4">
                  <c:v>-0.73768649241765161</c:v>
                </c:pt>
                <c:pt idx="5">
                  <c:v>-0.68521472583425291</c:v>
                </c:pt>
                <c:pt idx="6">
                  <c:v>-0.66232703822005889</c:v>
                </c:pt>
                <c:pt idx="7">
                  <c:v>-0.6451306489003209</c:v>
                </c:pt>
                <c:pt idx="8">
                  <c:v>-0.63319855188127827</c:v>
                </c:pt>
                <c:pt idx="9">
                  <c:v>-0.62397192570585147</c:v>
                </c:pt>
                <c:pt idx="10">
                  <c:v>-0.61476122916486831</c:v>
                </c:pt>
                <c:pt idx="11">
                  <c:v>-0.5509048386597909</c:v>
                </c:pt>
                <c:pt idx="12">
                  <c:v>-0.54473752032276634</c:v>
                </c:pt>
                <c:pt idx="13">
                  <c:v>-0.53002543279361813</c:v>
                </c:pt>
                <c:pt idx="14">
                  <c:v>-0.52445981504179429</c:v>
                </c:pt>
                <c:pt idx="15">
                  <c:v>-0.51677998249421209</c:v>
                </c:pt>
                <c:pt idx="16">
                  <c:v>-0.51078895777152966</c:v>
                </c:pt>
                <c:pt idx="17">
                  <c:v>-0.48187542092297803</c:v>
                </c:pt>
                <c:pt idx="18">
                  <c:v>-0.47278509393464768</c:v>
                </c:pt>
                <c:pt idx="19">
                  <c:v>-0.46540143560349134</c:v>
                </c:pt>
                <c:pt idx="20">
                  <c:v>-0.46482028600958303</c:v>
                </c:pt>
                <c:pt idx="21">
                  <c:v>-0.43330455428982584</c:v>
                </c:pt>
                <c:pt idx="22">
                  <c:v>-0.41171962689605546</c:v>
                </c:pt>
                <c:pt idx="23">
                  <c:v>-0.40963880587987822</c:v>
                </c:pt>
                <c:pt idx="24">
                  <c:v>-0.39014161481931753</c:v>
                </c:pt>
                <c:pt idx="25">
                  <c:v>-0.38403292690350649</c:v>
                </c:pt>
                <c:pt idx="26">
                  <c:v>-0.37110860993633576</c:v>
                </c:pt>
                <c:pt idx="27">
                  <c:v>-0.36318034395724308</c:v>
                </c:pt>
                <c:pt idx="28">
                  <c:v>-0.36293449410987655</c:v>
                </c:pt>
                <c:pt idx="29">
                  <c:v>-0.32942115403451983</c:v>
                </c:pt>
                <c:pt idx="30">
                  <c:v>-0.29736345280870963</c:v>
                </c:pt>
                <c:pt idx="31">
                  <c:v>-0.28524371433132939</c:v>
                </c:pt>
                <c:pt idx="32">
                  <c:v>-0.28415098076713918</c:v>
                </c:pt>
                <c:pt idx="33">
                  <c:v>-0.27808956138405488</c:v>
                </c:pt>
                <c:pt idx="34">
                  <c:v>-0.25917495572371307</c:v>
                </c:pt>
                <c:pt idx="35">
                  <c:v>-0.253552502329837</c:v>
                </c:pt>
                <c:pt idx="36">
                  <c:v>-0.2456512089082056</c:v>
                </c:pt>
                <c:pt idx="37">
                  <c:v>-0.23010019273061061</c:v>
                </c:pt>
                <c:pt idx="38">
                  <c:v>-0.20810470380088608</c:v>
                </c:pt>
                <c:pt idx="39">
                  <c:v>-0.19102734241491806</c:v>
                </c:pt>
                <c:pt idx="40">
                  <c:v>-0.17969740289949665</c:v>
                </c:pt>
                <c:pt idx="41">
                  <c:v>-0.17580086280382587</c:v>
                </c:pt>
                <c:pt idx="42">
                  <c:v>-0.16906264592703565</c:v>
                </c:pt>
                <c:pt idx="43">
                  <c:v>-0.15016961479303892</c:v>
                </c:pt>
                <c:pt idx="44">
                  <c:v>-0.13041169252468532</c:v>
                </c:pt>
                <c:pt idx="45">
                  <c:v>-0.12621876659530623</c:v>
                </c:pt>
                <c:pt idx="46">
                  <c:v>-0.125193676753491</c:v>
                </c:pt>
                <c:pt idx="47">
                  <c:v>-0.11655853566259709</c:v>
                </c:pt>
                <c:pt idx="48">
                  <c:v>-9.9520932593857123E-2</c:v>
                </c:pt>
                <c:pt idx="49">
                  <c:v>-8.2705750426356195E-2</c:v>
                </c:pt>
                <c:pt idx="50">
                  <c:v>-7.1043901984146646E-2</c:v>
                </c:pt>
                <c:pt idx="51">
                  <c:v>-4.9996241188009875E-2</c:v>
                </c:pt>
                <c:pt idx="52">
                  <c:v>-4.2210457989692515E-2</c:v>
                </c:pt>
                <c:pt idx="53">
                  <c:v>-1.3705492656123809E-2</c:v>
                </c:pt>
                <c:pt idx="54">
                  <c:v>8.6921138875056189E-3</c:v>
                </c:pt>
                <c:pt idx="55">
                  <c:v>2.2974063559821404E-2</c:v>
                </c:pt>
                <c:pt idx="56">
                  <c:v>3.5270614081919331E-2</c:v>
                </c:pt>
                <c:pt idx="57">
                  <c:v>4.260919652291649E-2</c:v>
                </c:pt>
                <c:pt idx="58">
                  <c:v>5.3341694981823208E-2</c:v>
                </c:pt>
                <c:pt idx="59">
                  <c:v>5.9494571785639667E-2</c:v>
                </c:pt>
                <c:pt idx="60">
                  <c:v>6.4729127970934483E-2</c:v>
                </c:pt>
                <c:pt idx="61">
                  <c:v>7.5543370048507613E-2</c:v>
                </c:pt>
                <c:pt idx="62">
                  <c:v>8.6260261639775446E-2</c:v>
                </c:pt>
                <c:pt idx="63">
                  <c:v>0.12301377589514426</c:v>
                </c:pt>
                <c:pt idx="64">
                  <c:v>0.14471487372638192</c:v>
                </c:pt>
                <c:pt idx="65">
                  <c:v>0.17291074703976736</c:v>
                </c:pt>
                <c:pt idx="66">
                  <c:v>0.1757500114109157</c:v>
                </c:pt>
                <c:pt idx="67">
                  <c:v>0.17732576524888419</c:v>
                </c:pt>
                <c:pt idx="68">
                  <c:v>0.19124826161047553</c:v>
                </c:pt>
                <c:pt idx="69">
                  <c:v>0.20910142045377147</c:v>
                </c:pt>
                <c:pt idx="70">
                  <c:v>0.2220950017782338</c:v>
                </c:pt>
                <c:pt idx="71">
                  <c:v>0.26796394158567727</c:v>
                </c:pt>
                <c:pt idx="72">
                  <c:v>0.2689349379270729</c:v>
                </c:pt>
                <c:pt idx="73">
                  <c:v>0.28129924548255775</c:v>
                </c:pt>
                <c:pt idx="74">
                  <c:v>0.2879045477023271</c:v>
                </c:pt>
                <c:pt idx="75">
                  <c:v>0.29015900232667352</c:v>
                </c:pt>
                <c:pt idx="76">
                  <c:v>0.34274537641430347</c:v>
                </c:pt>
                <c:pt idx="77">
                  <c:v>0.34613256786137242</c:v>
                </c:pt>
                <c:pt idx="78">
                  <c:v>0.3595886948406376</c:v>
                </c:pt>
                <c:pt idx="79">
                  <c:v>0.38473164772125207</c:v>
                </c:pt>
                <c:pt idx="80">
                  <c:v>0.40423101359335084</c:v>
                </c:pt>
                <c:pt idx="81">
                  <c:v>0.43674411280063002</c:v>
                </c:pt>
                <c:pt idx="82">
                  <c:v>0.48304324275353905</c:v>
                </c:pt>
                <c:pt idx="83">
                  <c:v>0.48433790092888779</c:v>
                </c:pt>
                <c:pt idx="84">
                  <c:v>0.50502080837761887</c:v>
                </c:pt>
                <c:pt idx="85">
                  <c:v>0.5296100858490167</c:v>
                </c:pt>
                <c:pt idx="86">
                  <c:v>0.53178052811237941</c:v>
                </c:pt>
                <c:pt idx="87">
                  <c:v>0.60141558996035249</c:v>
                </c:pt>
                <c:pt idx="88">
                  <c:v>0.60469294496847803</c:v>
                </c:pt>
                <c:pt idx="89">
                  <c:v>0.62359879766224013</c:v>
                </c:pt>
                <c:pt idx="90">
                  <c:v>0.65373564920202831</c:v>
                </c:pt>
                <c:pt idx="91">
                  <c:v>0.72136527863392985</c:v>
                </c:pt>
                <c:pt idx="92">
                  <c:v>0.74534581500348374</c:v>
                </c:pt>
                <c:pt idx="93">
                  <c:v>0.75491937895254635</c:v>
                </c:pt>
                <c:pt idx="94">
                  <c:v>0.78602258051014406</c:v>
                </c:pt>
                <c:pt idx="95">
                  <c:v>0.92821139756984317</c:v>
                </c:pt>
                <c:pt idx="96">
                  <c:v>0.94481987798812872</c:v>
                </c:pt>
                <c:pt idx="97">
                  <c:v>1.0020499919591552</c:v>
                </c:pt>
                <c:pt idx="98">
                  <c:v>1.1832168827891549</c:v>
                </c:pt>
              </c:numCache>
            </c:numRef>
          </c:xVal>
          <c:yVal>
            <c:numRef>
              <c:f>'Dec 4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C459-4598-AA87-3A48C0DBC1BD}"/>
            </c:ext>
          </c:extLst>
        </c:ser>
        <c:dLbls>
          <c:showLegendKey val="0"/>
          <c:showVal val="0"/>
          <c:showCatName val="0"/>
          <c:showSerName val="0"/>
          <c:showPercent val="0"/>
          <c:showBubbleSize val="0"/>
        </c:dLbls>
        <c:axId val="1904293407"/>
        <c:axId val="1904312127"/>
      </c:scatterChart>
      <c:valAx>
        <c:axId val="1904293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04312127"/>
        <c:crosses val="autoZero"/>
        <c:crossBetween val="midCat"/>
      </c:valAx>
      <c:valAx>
        <c:axId val="190431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934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5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5 Test'!$B$3:$B$103</c:f>
              <c:numCache>
                <c:formatCode>General</c:formatCode>
                <c:ptCount val="101"/>
                <c:pt idx="0">
                  <c:v>-1.0282311812267468</c:v>
                </c:pt>
                <c:pt idx="1">
                  <c:v>-0.91760659724538041</c:v>
                </c:pt>
                <c:pt idx="2">
                  <c:v>-0.73198988516746011</c:v>
                </c:pt>
                <c:pt idx="3">
                  <c:v>-0.73136215963333917</c:v>
                </c:pt>
                <c:pt idx="4">
                  <c:v>-0.69020551151403653</c:v>
                </c:pt>
                <c:pt idx="5">
                  <c:v>-0.65950933031709735</c:v>
                </c:pt>
                <c:pt idx="6">
                  <c:v>-0.6478679343611855</c:v>
                </c:pt>
                <c:pt idx="7">
                  <c:v>-0.63464811024607337</c:v>
                </c:pt>
                <c:pt idx="8">
                  <c:v>-0.63353766202184869</c:v>
                </c:pt>
                <c:pt idx="9">
                  <c:v>-0.61085224183316122</c:v>
                </c:pt>
                <c:pt idx="10">
                  <c:v>-0.59997929382765403</c:v>
                </c:pt>
                <c:pt idx="11">
                  <c:v>-0.58998066997200893</c:v>
                </c:pt>
                <c:pt idx="12">
                  <c:v>-0.55567481378550032</c:v>
                </c:pt>
                <c:pt idx="13">
                  <c:v>-0.54316288234496279</c:v>
                </c:pt>
                <c:pt idx="14">
                  <c:v>-0.53941030062176731</c:v>
                </c:pt>
                <c:pt idx="15">
                  <c:v>-0.53329620689335921</c:v>
                </c:pt>
                <c:pt idx="16">
                  <c:v>-0.52156137965132798</c:v>
                </c:pt>
                <c:pt idx="17">
                  <c:v>-0.51330703325091676</c:v>
                </c:pt>
                <c:pt idx="18">
                  <c:v>-0.49856114094600856</c:v>
                </c:pt>
                <c:pt idx="19">
                  <c:v>-0.49757381809024281</c:v>
                </c:pt>
                <c:pt idx="20">
                  <c:v>-0.46425379129179517</c:v>
                </c:pt>
                <c:pt idx="21">
                  <c:v>-0.43561147793373839</c:v>
                </c:pt>
                <c:pt idx="22">
                  <c:v>-0.43180805675424827</c:v>
                </c:pt>
                <c:pt idx="23">
                  <c:v>-0.41539423918604929</c:v>
                </c:pt>
                <c:pt idx="24">
                  <c:v>-0.4082103729016513</c:v>
                </c:pt>
                <c:pt idx="25">
                  <c:v>-0.40153185350559262</c:v>
                </c:pt>
                <c:pt idx="26">
                  <c:v>-0.39734516426298783</c:v>
                </c:pt>
                <c:pt idx="27">
                  <c:v>-0.39139801523527973</c:v>
                </c:pt>
                <c:pt idx="28">
                  <c:v>-0.38777500473784965</c:v>
                </c:pt>
                <c:pt idx="29">
                  <c:v>-0.35601087876453941</c:v>
                </c:pt>
                <c:pt idx="30">
                  <c:v>-0.35385463902582576</c:v>
                </c:pt>
                <c:pt idx="31">
                  <c:v>-0.33017073286613258</c:v>
                </c:pt>
                <c:pt idx="32">
                  <c:v>-0.29926624396265461</c:v>
                </c:pt>
                <c:pt idx="33">
                  <c:v>-0.27864569047581494</c:v>
                </c:pt>
                <c:pt idx="34">
                  <c:v>-0.25709208685223617</c:v>
                </c:pt>
                <c:pt idx="35">
                  <c:v>-0.25371487848615742</c:v>
                </c:pt>
                <c:pt idx="36">
                  <c:v>-0.21804407576951096</c:v>
                </c:pt>
                <c:pt idx="37">
                  <c:v>-0.2137082045277246</c:v>
                </c:pt>
                <c:pt idx="38">
                  <c:v>-0.21271808583062701</c:v>
                </c:pt>
                <c:pt idx="39">
                  <c:v>-0.20893127585918397</c:v>
                </c:pt>
                <c:pt idx="40">
                  <c:v>-0.2069196238538957</c:v>
                </c:pt>
                <c:pt idx="41">
                  <c:v>-0.20066925101874994</c:v>
                </c:pt>
                <c:pt idx="42">
                  <c:v>-0.15132999503493108</c:v>
                </c:pt>
                <c:pt idx="43">
                  <c:v>-0.13180602478516493</c:v>
                </c:pt>
                <c:pt idx="44">
                  <c:v>-0.13105560278014874</c:v>
                </c:pt>
                <c:pt idx="45">
                  <c:v>-0.13059399671340113</c:v>
                </c:pt>
                <c:pt idx="46">
                  <c:v>-0.12317152753728026</c:v>
                </c:pt>
                <c:pt idx="47">
                  <c:v>-0.11946845517825723</c:v>
                </c:pt>
                <c:pt idx="48">
                  <c:v>-0.11681587850367758</c:v>
                </c:pt>
                <c:pt idx="49">
                  <c:v>-0.1120864172415932</c:v>
                </c:pt>
                <c:pt idx="50">
                  <c:v>-6.1078912490819003E-2</c:v>
                </c:pt>
                <c:pt idx="51">
                  <c:v>-5.8859742632313708E-2</c:v>
                </c:pt>
                <c:pt idx="52">
                  <c:v>-5.6143987368040084E-2</c:v>
                </c:pt>
                <c:pt idx="53">
                  <c:v>-4.1744294708346487E-2</c:v>
                </c:pt>
                <c:pt idx="54">
                  <c:v>-4.0581398465807245E-2</c:v>
                </c:pt>
                <c:pt idx="55">
                  <c:v>-3.276495646549462E-2</c:v>
                </c:pt>
                <c:pt idx="56">
                  <c:v>-2.2288554654749489E-2</c:v>
                </c:pt>
                <c:pt idx="57">
                  <c:v>3.300915360694557E-2</c:v>
                </c:pt>
                <c:pt idx="58">
                  <c:v>3.5772467088128444E-2</c:v>
                </c:pt>
                <c:pt idx="59">
                  <c:v>3.8489676780523667E-2</c:v>
                </c:pt>
                <c:pt idx="60">
                  <c:v>4.0930788601964328E-2</c:v>
                </c:pt>
                <c:pt idx="61">
                  <c:v>4.2590030622885112E-2</c:v>
                </c:pt>
                <c:pt idx="62">
                  <c:v>4.6501833651419862E-2</c:v>
                </c:pt>
                <c:pt idx="63">
                  <c:v>5.2744241254859707E-2</c:v>
                </c:pt>
                <c:pt idx="64">
                  <c:v>5.4118798887495961E-2</c:v>
                </c:pt>
                <c:pt idx="65">
                  <c:v>8.133110809837274E-2</c:v>
                </c:pt>
                <c:pt idx="66">
                  <c:v>0.121137403468957</c:v>
                </c:pt>
                <c:pt idx="67">
                  <c:v>0.12841959964458946</c:v>
                </c:pt>
                <c:pt idx="68">
                  <c:v>0.14166447922970632</c:v>
                </c:pt>
                <c:pt idx="69">
                  <c:v>0.16877183924687161</c:v>
                </c:pt>
                <c:pt idx="70">
                  <c:v>0.17088136665139889</c:v>
                </c:pt>
                <c:pt idx="71">
                  <c:v>0.2005870556007992</c:v>
                </c:pt>
                <c:pt idx="72">
                  <c:v>0.20659944925347809</c:v>
                </c:pt>
                <c:pt idx="73">
                  <c:v>0.22475824699121125</c:v>
                </c:pt>
                <c:pt idx="74">
                  <c:v>0.254006357342068</c:v>
                </c:pt>
                <c:pt idx="75">
                  <c:v>0.30140004927997721</c:v>
                </c:pt>
                <c:pt idx="76">
                  <c:v>0.31086867352710612</c:v>
                </c:pt>
                <c:pt idx="77">
                  <c:v>0.32026300249045142</c:v>
                </c:pt>
                <c:pt idx="78">
                  <c:v>0.37448342738832319</c:v>
                </c:pt>
                <c:pt idx="79">
                  <c:v>0.38510592596406379</c:v>
                </c:pt>
                <c:pt idx="80">
                  <c:v>0.41164596718324553</c:v>
                </c:pt>
                <c:pt idx="81">
                  <c:v>0.42137782656821349</c:v>
                </c:pt>
                <c:pt idx="82">
                  <c:v>0.43105487910716078</c:v>
                </c:pt>
                <c:pt idx="83">
                  <c:v>0.52976317110602789</c:v>
                </c:pt>
                <c:pt idx="84">
                  <c:v>0.55711552201681824</c:v>
                </c:pt>
                <c:pt idx="85">
                  <c:v>0.56963400898753513</c:v>
                </c:pt>
                <c:pt idx="86">
                  <c:v>0.57227813807895689</c:v>
                </c:pt>
                <c:pt idx="87">
                  <c:v>0.5929345031282478</c:v>
                </c:pt>
                <c:pt idx="88">
                  <c:v>0.6003244046000803</c:v>
                </c:pt>
                <c:pt idx="89">
                  <c:v>0.64843220153251735</c:v>
                </c:pt>
                <c:pt idx="90">
                  <c:v>0.67714482308243951</c:v>
                </c:pt>
                <c:pt idx="91">
                  <c:v>0.70667526203963704</c:v>
                </c:pt>
                <c:pt idx="92">
                  <c:v>0.72397217113786061</c:v>
                </c:pt>
                <c:pt idx="93">
                  <c:v>0.75198668058237872</c:v>
                </c:pt>
                <c:pt idx="94">
                  <c:v>0.76195470153721889</c:v>
                </c:pt>
                <c:pt idx="95">
                  <c:v>0.91497787044861234</c:v>
                </c:pt>
                <c:pt idx="96">
                  <c:v>0.9204221856536039</c:v>
                </c:pt>
                <c:pt idx="97">
                  <c:v>0.99354062017881206</c:v>
                </c:pt>
                <c:pt idx="98">
                  <c:v>1.1302853591229756</c:v>
                </c:pt>
              </c:numCache>
            </c:numRef>
          </c:xVal>
          <c:yVal>
            <c:numRef>
              <c:f>'Dec 5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2F65-422E-98E7-1CBD1661044E}"/>
            </c:ext>
          </c:extLst>
        </c:ser>
        <c:dLbls>
          <c:showLegendKey val="0"/>
          <c:showVal val="0"/>
          <c:showCatName val="0"/>
          <c:showSerName val="0"/>
          <c:showPercent val="0"/>
          <c:showBubbleSize val="0"/>
        </c:dLbls>
        <c:axId val="1904299167"/>
        <c:axId val="1904307327"/>
      </c:scatterChart>
      <c:valAx>
        <c:axId val="190429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04307327"/>
        <c:crosses val="autoZero"/>
        <c:crossBetween val="midCat"/>
      </c:valAx>
      <c:valAx>
        <c:axId val="190430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99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6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6 Test'!$B$3:$B$103</c:f>
              <c:numCache>
                <c:formatCode>General</c:formatCode>
                <c:ptCount val="101"/>
                <c:pt idx="0">
                  <c:v>-1.1267185962908794</c:v>
                </c:pt>
                <c:pt idx="1">
                  <c:v>-0.94960452527909212</c:v>
                </c:pt>
                <c:pt idx="2">
                  <c:v>-0.77708981641038488</c:v>
                </c:pt>
                <c:pt idx="3">
                  <c:v>-0.71705060464150439</c:v>
                </c:pt>
                <c:pt idx="4">
                  <c:v>-0.71696252805988403</c:v>
                </c:pt>
                <c:pt idx="5">
                  <c:v>-0.69892785651897205</c:v>
                </c:pt>
                <c:pt idx="6">
                  <c:v>-0.69873677326744088</c:v>
                </c:pt>
                <c:pt idx="7">
                  <c:v>-0.66747358587525041</c:v>
                </c:pt>
                <c:pt idx="8">
                  <c:v>-0.66525189712121235</c:v>
                </c:pt>
                <c:pt idx="9">
                  <c:v>-0.61697348633710292</c:v>
                </c:pt>
                <c:pt idx="10">
                  <c:v>-0.61277160521607632</c:v>
                </c:pt>
                <c:pt idx="11">
                  <c:v>-0.60399409865845499</c:v>
                </c:pt>
                <c:pt idx="12">
                  <c:v>-0.5942217255636858</c:v>
                </c:pt>
                <c:pt idx="13">
                  <c:v>-0.56619387619557104</c:v>
                </c:pt>
                <c:pt idx="14">
                  <c:v>-0.55672821100141401</c:v>
                </c:pt>
                <c:pt idx="15">
                  <c:v>-0.54307853519614768</c:v>
                </c:pt>
                <c:pt idx="16">
                  <c:v>-0.52511557382719387</c:v>
                </c:pt>
                <c:pt idx="17">
                  <c:v>-0.48648591896870497</c:v>
                </c:pt>
                <c:pt idx="18">
                  <c:v>-0.48199200349919635</c:v>
                </c:pt>
                <c:pt idx="19">
                  <c:v>-0.46138011882368346</c:v>
                </c:pt>
                <c:pt idx="20">
                  <c:v>-0.45466743220383071</c:v>
                </c:pt>
                <c:pt idx="21">
                  <c:v>-0.45223129689832509</c:v>
                </c:pt>
                <c:pt idx="22">
                  <c:v>-0.41472787538734945</c:v>
                </c:pt>
                <c:pt idx="23">
                  <c:v>-0.40576765387051839</c:v>
                </c:pt>
                <c:pt idx="24">
                  <c:v>-0.39864491856464696</c:v>
                </c:pt>
                <c:pt idx="25">
                  <c:v>-0.39523313375193464</c:v>
                </c:pt>
                <c:pt idx="26">
                  <c:v>-0.39339079687539169</c:v>
                </c:pt>
                <c:pt idx="27">
                  <c:v>-0.36198616640022729</c:v>
                </c:pt>
                <c:pt idx="28">
                  <c:v>-0.35088885852005119</c:v>
                </c:pt>
                <c:pt idx="29">
                  <c:v>-0.348117378856176</c:v>
                </c:pt>
                <c:pt idx="30">
                  <c:v>-0.34173566418530971</c:v>
                </c:pt>
                <c:pt idx="31">
                  <c:v>-0.34066380899974863</c:v>
                </c:pt>
                <c:pt idx="32">
                  <c:v>-0.322417074799278</c:v>
                </c:pt>
                <c:pt idx="33">
                  <c:v>-0.31198979245614122</c:v>
                </c:pt>
                <c:pt idx="34">
                  <c:v>-0.29831978616509242</c:v>
                </c:pt>
                <c:pt idx="35">
                  <c:v>-0.28675450277757325</c:v>
                </c:pt>
                <c:pt idx="36">
                  <c:v>-0.2818855713379726</c:v>
                </c:pt>
                <c:pt idx="37">
                  <c:v>-0.25290454899587456</c:v>
                </c:pt>
                <c:pt idx="38">
                  <c:v>-0.24952089476698913</c:v>
                </c:pt>
                <c:pt idx="39">
                  <c:v>-0.23975831525052504</c:v>
                </c:pt>
                <c:pt idx="40">
                  <c:v>-0.22545497058673772</c:v>
                </c:pt>
                <c:pt idx="41">
                  <c:v>-0.2132860465514281</c:v>
                </c:pt>
                <c:pt idx="42">
                  <c:v>-0.18898732373785548</c:v>
                </c:pt>
                <c:pt idx="43">
                  <c:v>-0.16694636319260484</c:v>
                </c:pt>
                <c:pt idx="44">
                  <c:v>-0.16589048917577492</c:v>
                </c:pt>
                <c:pt idx="45">
                  <c:v>-0.14690151860269857</c:v>
                </c:pt>
                <c:pt idx="46">
                  <c:v>-0.1443358366999925</c:v>
                </c:pt>
                <c:pt idx="47">
                  <c:v>-0.13593427724083296</c:v>
                </c:pt>
                <c:pt idx="48">
                  <c:v>-0.12627549472123972</c:v>
                </c:pt>
                <c:pt idx="49">
                  <c:v>-0.11317989637662514</c:v>
                </c:pt>
                <c:pt idx="50">
                  <c:v>-9.9322116872180496E-2</c:v>
                </c:pt>
                <c:pt idx="51">
                  <c:v>-9.8859471093245069E-2</c:v>
                </c:pt>
                <c:pt idx="52">
                  <c:v>-7.0662836531276321E-2</c:v>
                </c:pt>
                <c:pt idx="53">
                  <c:v>-6.4250562601610273E-2</c:v>
                </c:pt>
                <c:pt idx="54">
                  <c:v>-6.1288342029972957E-2</c:v>
                </c:pt>
                <c:pt idx="55">
                  <c:v>-6.0356345305796262E-2</c:v>
                </c:pt>
                <c:pt idx="56">
                  <c:v>-3.0414878570342183E-2</c:v>
                </c:pt>
                <c:pt idx="57">
                  <c:v>-2.7052645278006462E-2</c:v>
                </c:pt>
                <c:pt idx="58">
                  <c:v>-2.6469239858385476E-2</c:v>
                </c:pt>
                <c:pt idx="59">
                  <c:v>-2.5121528152129979E-3</c:v>
                </c:pt>
                <c:pt idx="60">
                  <c:v>-1.8096364047106401E-3</c:v>
                </c:pt>
                <c:pt idx="61">
                  <c:v>2.5068552111807475E-3</c:v>
                </c:pt>
                <c:pt idx="62">
                  <c:v>6.3497972987496638E-3</c:v>
                </c:pt>
                <c:pt idx="63">
                  <c:v>1.1543121094983403E-2</c:v>
                </c:pt>
                <c:pt idx="64">
                  <c:v>1.8281863678012478E-2</c:v>
                </c:pt>
                <c:pt idx="65">
                  <c:v>2.4438921877018138E-2</c:v>
                </c:pt>
                <c:pt idx="66">
                  <c:v>2.5433801256810135E-2</c:v>
                </c:pt>
                <c:pt idx="67">
                  <c:v>4.6616374628579524E-2</c:v>
                </c:pt>
                <c:pt idx="68">
                  <c:v>0.10018012055172802</c:v>
                </c:pt>
                <c:pt idx="69">
                  <c:v>0.1069063202859943</c:v>
                </c:pt>
                <c:pt idx="70">
                  <c:v>0.13313131260318295</c:v>
                </c:pt>
                <c:pt idx="71">
                  <c:v>0.13474940055161441</c:v>
                </c:pt>
                <c:pt idx="72">
                  <c:v>0.14543278920753538</c:v>
                </c:pt>
                <c:pt idx="73">
                  <c:v>0.15802886422491008</c:v>
                </c:pt>
                <c:pt idx="74">
                  <c:v>0.22031555630316293</c:v>
                </c:pt>
                <c:pt idx="75">
                  <c:v>0.24749269029012594</c:v>
                </c:pt>
                <c:pt idx="76">
                  <c:v>0.24811710004808318</c:v>
                </c:pt>
                <c:pt idx="77">
                  <c:v>0.26964538496562962</c:v>
                </c:pt>
                <c:pt idx="78">
                  <c:v>0.30419252176626521</c:v>
                </c:pt>
                <c:pt idx="79">
                  <c:v>0.31843918555820305</c:v>
                </c:pt>
                <c:pt idx="80">
                  <c:v>0.33536448042867528</c:v>
                </c:pt>
                <c:pt idx="81">
                  <c:v>0.36287071047574376</c:v>
                </c:pt>
                <c:pt idx="82">
                  <c:v>0.37558305362624361</c:v>
                </c:pt>
                <c:pt idx="83">
                  <c:v>0.4234294454771092</c:v>
                </c:pt>
                <c:pt idx="84">
                  <c:v>0.4372673466561075</c:v>
                </c:pt>
                <c:pt idx="85">
                  <c:v>0.53223871826930713</c:v>
                </c:pt>
                <c:pt idx="86">
                  <c:v>0.53237378555357373</c:v>
                </c:pt>
                <c:pt idx="87">
                  <c:v>0.55957007260477853</c:v>
                </c:pt>
                <c:pt idx="88">
                  <c:v>0.58967377208366922</c:v>
                </c:pt>
                <c:pt idx="89">
                  <c:v>0.60993403569089544</c:v>
                </c:pt>
                <c:pt idx="90">
                  <c:v>0.6347073578309006</c:v>
                </c:pt>
                <c:pt idx="91">
                  <c:v>0.64096928450136503</c:v>
                </c:pt>
                <c:pt idx="92">
                  <c:v>0.66544704991766668</c:v>
                </c:pt>
                <c:pt idx="93">
                  <c:v>0.68292511278964518</c:v>
                </c:pt>
                <c:pt idx="94">
                  <c:v>0.70546105268122683</c:v>
                </c:pt>
                <c:pt idx="95">
                  <c:v>0.86511953529552166</c:v>
                </c:pt>
                <c:pt idx="96">
                  <c:v>0.92486189428982146</c:v>
                </c:pt>
                <c:pt idx="97">
                  <c:v>1.0085343965414402</c:v>
                </c:pt>
                <c:pt idx="98">
                  <c:v>1.0990521918964951</c:v>
                </c:pt>
              </c:numCache>
            </c:numRef>
          </c:xVal>
          <c:yVal>
            <c:numRef>
              <c:f>'Dec 6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9A5E-434B-AD17-93916CD52413}"/>
            </c:ext>
          </c:extLst>
        </c:ser>
        <c:dLbls>
          <c:showLegendKey val="0"/>
          <c:showVal val="0"/>
          <c:showCatName val="0"/>
          <c:showSerName val="0"/>
          <c:showPercent val="0"/>
          <c:showBubbleSize val="0"/>
        </c:dLbls>
        <c:axId val="1864207423"/>
        <c:axId val="1864224223"/>
      </c:scatterChart>
      <c:valAx>
        <c:axId val="186420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64224223"/>
        <c:crosses val="autoZero"/>
        <c:crossBetween val="midCat"/>
      </c:valAx>
      <c:valAx>
        <c:axId val="186422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07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7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7 Test'!$B$3:$B$103</c:f>
              <c:numCache>
                <c:formatCode>General</c:formatCode>
                <c:ptCount val="101"/>
                <c:pt idx="0">
                  <c:v>-1.13715251340616</c:v>
                </c:pt>
                <c:pt idx="1">
                  <c:v>-0.90849618840824276</c:v>
                </c:pt>
                <c:pt idx="2">
                  <c:v>-0.79108861909124739</c:v>
                </c:pt>
                <c:pt idx="3">
                  <c:v>-0.78664061165205212</c:v>
                </c:pt>
                <c:pt idx="4">
                  <c:v>-0.77872903435037277</c:v>
                </c:pt>
                <c:pt idx="5">
                  <c:v>-0.74640872647379097</c:v>
                </c:pt>
                <c:pt idx="6">
                  <c:v>-0.67401929065176913</c:v>
                </c:pt>
                <c:pt idx="7">
                  <c:v>-0.6481432226509366</c:v>
                </c:pt>
                <c:pt idx="8">
                  <c:v>-0.64320149378778835</c:v>
                </c:pt>
                <c:pt idx="9">
                  <c:v>-0.64062114630849865</c:v>
                </c:pt>
                <c:pt idx="10">
                  <c:v>-0.61444691201628021</c:v>
                </c:pt>
                <c:pt idx="11">
                  <c:v>-0.59272463664175956</c:v>
                </c:pt>
                <c:pt idx="12">
                  <c:v>-0.58412956026866647</c:v>
                </c:pt>
                <c:pt idx="13">
                  <c:v>-0.56891564789066318</c:v>
                </c:pt>
                <c:pt idx="14">
                  <c:v>-0.56360071723010829</c:v>
                </c:pt>
                <c:pt idx="15">
                  <c:v>-0.54462545647729033</c:v>
                </c:pt>
                <c:pt idx="16">
                  <c:v>-0.52724468179428585</c:v>
                </c:pt>
                <c:pt idx="17">
                  <c:v>-0.52247656650685237</c:v>
                </c:pt>
                <c:pt idx="18">
                  <c:v>-0.50586627502383985</c:v>
                </c:pt>
                <c:pt idx="19">
                  <c:v>-0.49228195856476153</c:v>
                </c:pt>
                <c:pt idx="20">
                  <c:v>-0.4893511920994465</c:v>
                </c:pt>
                <c:pt idx="21">
                  <c:v>-0.48930225557174439</c:v>
                </c:pt>
                <c:pt idx="22">
                  <c:v>-0.44926496957633949</c:v>
                </c:pt>
                <c:pt idx="23">
                  <c:v>-0.43121993464807723</c:v>
                </c:pt>
                <c:pt idx="24">
                  <c:v>-0.40585918574655805</c:v>
                </c:pt>
                <c:pt idx="25">
                  <c:v>-0.40272337010914666</c:v>
                </c:pt>
                <c:pt idx="26">
                  <c:v>-0.39697921535786634</c:v>
                </c:pt>
                <c:pt idx="27">
                  <c:v>-0.39258639588480881</c:v>
                </c:pt>
                <c:pt idx="28">
                  <c:v>-0.37260109448899159</c:v>
                </c:pt>
                <c:pt idx="29">
                  <c:v>-0.37093325511409991</c:v>
                </c:pt>
                <c:pt idx="30">
                  <c:v>-0.33659084365474912</c:v>
                </c:pt>
                <c:pt idx="31">
                  <c:v>-0.33422456452974331</c:v>
                </c:pt>
                <c:pt idx="32">
                  <c:v>-0.3267070714249985</c:v>
                </c:pt>
                <c:pt idx="33">
                  <c:v>-0.32568027983650899</c:v>
                </c:pt>
                <c:pt idx="34">
                  <c:v>-0.31896636249154731</c:v>
                </c:pt>
                <c:pt idx="35">
                  <c:v>-0.30605380396778653</c:v>
                </c:pt>
                <c:pt idx="36">
                  <c:v>-0.30260621891018868</c:v>
                </c:pt>
                <c:pt idx="37">
                  <c:v>-0.2774743489843598</c:v>
                </c:pt>
                <c:pt idx="38">
                  <c:v>-0.2749224899236174</c:v>
                </c:pt>
                <c:pt idx="39">
                  <c:v>-0.25946527061372165</c:v>
                </c:pt>
                <c:pt idx="40">
                  <c:v>-0.25298696905490303</c:v>
                </c:pt>
                <c:pt idx="41">
                  <c:v>-0.2447017687573507</c:v>
                </c:pt>
                <c:pt idx="42">
                  <c:v>-0.23662527269354758</c:v>
                </c:pt>
                <c:pt idx="43">
                  <c:v>-0.20144688550861059</c:v>
                </c:pt>
                <c:pt idx="44">
                  <c:v>-0.19322922975287674</c:v>
                </c:pt>
                <c:pt idx="45">
                  <c:v>-0.19311519913431913</c:v>
                </c:pt>
                <c:pt idx="46">
                  <c:v>-0.17939464438419506</c:v>
                </c:pt>
                <c:pt idx="47">
                  <c:v>-0.15863471811732119</c:v>
                </c:pt>
                <c:pt idx="48">
                  <c:v>-0.14703935864938855</c:v>
                </c:pt>
                <c:pt idx="49">
                  <c:v>-0.11523017198749351</c:v>
                </c:pt>
                <c:pt idx="50">
                  <c:v>-0.11393270769180056</c:v>
                </c:pt>
                <c:pt idx="51">
                  <c:v>-0.10461745845988318</c:v>
                </c:pt>
                <c:pt idx="52">
                  <c:v>-8.7665772878102927E-2</c:v>
                </c:pt>
                <c:pt idx="53">
                  <c:v>-7.6645650876865271E-2</c:v>
                </c:pt>
                <c:pt idx="54">
                  <c:v>-5.5899676969936855E-2</c:v>
                </c:pt>
                <c:pt idx="55">
                  <c:v>-3.766863824492539E-2</c:v>
                </c:pt>
                <c:pt idx="56">
                  <c:v>-3.121825837756036E-2</c:v>
                </c:pt>
                <c:pt idx="57">
                  <c:v>-2.5556810902186297E-2</c:v>
                </c:pt>
                <c:pt idx="58">
                  <c:v>-2.2407176190832958E-2</c:v>
                </c:pt>
                <c:pt idx="59">
                  <c:v>-2.0637495701842784E-2</c:v>
                </c:pt>
                <c:pt idx="60">
                  <c:v>-2.0089448425427512E-2</c:v>
                </c:pt>
                <c:pt idx="61">
                  <c:v>-7.8991160334326641E-3</c:v>
                </c:pt>
                <c:pt idx="62">
                  <c:v>-1.0705728586756619E-3</c:v>
                </c:pt>
                <c:pt idx="63">
                  <c:v>8.8507165979620564E-3</c:v>
                </c:pt>
                <c:pt idx="64">
                  <c:v>1.3498484151341713E-2</c:v>
                </c:pt>
                <c:pt idx="65">
                  <c:v>1.6837451189668309E-2</c:v>
                </c:pt>
                <c:pt idx="66">
                  <c:v>2.9267497680568143E-2</c:v>
                </c:pt>
                <c:pt idx="67">
                  <c:v>3.8008440185706129E-2</c:v>
                </c:pt>
                <c:pt idx="68">
                  <c:v>4.2149113508158281E-2</c:v>
                </c:pt>
                <c:pt idx="69">
                  <c:v>5.3408056700616088E-2</c:v>
                </c:pt>
                <c:pt idx="70">
                  <c:v>7.069142812253297E-2</c:v>
                </c:pt>
                <c:pt idx="71">
                  <c:v>0.10116572983294572</c:v>
                </c:pt>
                <c:pt idx="72">
                  <c:v>0.13695801504242439</c:v>
                </c:pt>
                <c:pt idx="73">
                  <c:v>0.13783835433495337</c:v>
                </c:pt>
                <c:pt idx="74">
                  <c:v>0.17100779689368129</c:v>
                </c:pt>
                <c:pt idx="75">
                  <c:v>0.19472761575167977</c:v>
                </c:pt>
                <c:pt idx="76">
                  <c:v>0.2215102181515313</c:v>
                </c:pt>
                <c:pt idx="77">
                  <c:v>0.2688661581941405</c:v>
                </c:pt>
                <c:pt idx="78">
                  <c:v>0.2823478708610791</c:v>
                </c:pt>
                <c:pt idx="79">
                  <c:v>0.2824911227546994</c:v>
                </c:pt>
                <c:pt idx="80">
                  <c:v>0.30849154564964626</c:v>
                </c:pt>
                <c:pt idx="81">
                  <c:v>0.36893942675871438</c:v>
                </c:pt>
                <c:pt idx="82">
                  <c:v>0.37385747511222134</c:v>
                </c:pt>
                <c:pt idx="83">
                  <c:v>0.41364489557635137</c:v>
                </c:pt>
                <c:pt idx="84">
                  <c:v>0.44479478968314595</c:v>
                </c:pt>
                <c:pt idx="85">
                  <c:v>0.53012224070758074</c:v>
                </c:pt>
                <c:pt idx="86">
                  <c:v>0.55367244693640427</c:v>
                </c:pt>
                <c:pt idx="87">
                  <c:v>0.58052704417285883</c:v>
                </c:pt>
                <c:pt idx="88">
                  <c:v>0.60310211567989358</c:v>
                </c:pt>
                <c:pt idx="89">
                  <c:v>0.61091708229097341</c:v>
                </c:pt>
                <c:pt idx="90">
                  <c:v>0.61730771022807529</c:v>
                </c:pt>
                <c:pt idx="91">
                  <c:v>0.64579348417647497</c:v>
                </c:pt>
                <c:pt idx="92">
                  <c:v>0.6464538165677608</c:v>
                </c:pt>
                <c:pt idx="93">
                  <c:v>0.68845619507182176</c:v>
                </c:pt>
                <c:pt idx="94">
                  <c:v>0.6943614430447721</c:v>
                </c:pt>
                <c:pt idx="95">
                  <c:v>0.76120761746485543</c:v>
                </c:pt>
                <c:pt idx="96">
                  <c:v>0.92868164643499396</c:v>
                </c:pt>
                <c:pt idx="97">
                  <c:v>0.94118625070693085</c:v>
                </c:pt>
                <c:pt idx="98">
                  <c:v>1.1040706977447425</c:v>
                </c:pt>
              </c:numCache>
            </c:numRef>
          </c:xVal>
          <c:yVal>
            <c:numRef>
              <c:f>'Dec 7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5627-4829-AD51-B6FBB4F723ED}"/>
            </c:ext>
          </c:extLst>
        </c:ser>
        <c:dLbls>
          <c:showLegendKey val="0"/>
          <c:showVal val="0"/>
          <c:showCatName val="0"/>
          <c:showSerName val="0"/>
          <c:showPercent val="0"/>
          <c:showBubbleSize val="0"/>
        </c:dLbls>
        <c:axId val="1864228063"/>
        <c:axId val="1864220383"/>
      </c:scatterChart>
      <c:valAx>
        <c:axId val="186422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64220383"/>
        <c:crosses val="autoZero"/>
        <c:crossBetween val="midCat"/>
      </c:valAx>
      <c:valAx>
        <c:axId val="186422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28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8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8 Test'!$B$3:$B$103</c:f>
              <c:numCache>
                <c:formatCode>General</c:formatCode>
                <c:ptCount val="101"/>
                <c:pt idx="0">
                  <c:v>-1.1664040960071727</c:v>
                </c:pt>
                <c:pt idx="1">
                  <c:v>-0.8626954640616572</c:v>
                </c:pt>
                <c:pt idx="2">
                  <c:v>-0.80533315900519264</c:v>
                </c:pt>
                <c:pt idx="3">
                  <c:v>-0.78305657091858871</c:v>
                </c:pt>
                <c:pt idx="4">
                  <c:v>-0.74470156165924428</c:v>
                </c:pt>
                <c:pt idx="5">
                  <c:v>-0.73471111691765434</c:v>
                </c:pt>
                <c:pt idx="6">
                  <c:v>-0.73273035939597608</c:v>
                </c:pt>
                <c:pt idx="7">
                  <c:v>-0.72061087906485533</c:v>
                </c:pt>
                <c:pt idx="8">
                  <c:v>-0.69054656509366796</c:v>
                </c:pt>
                <c:pt idx="9">
                  <c:v>-0.64899250559352473</c:v>
                </c:pt>
                <c:pt idx="10">
                  <c:v>-0.60758986019846006</c:v>
                </c:pt>
                <c:pt idx="11">
                  <c:v>-0.60625781101292087</c:v>
                </c:pt>
                <c:pt idx="12">
                  <c:v>-0.60064457466904708</c:v>
                </c:pt>
                <c:pt idx="13">
                  <c:v>-0.57712569552322279</c:v>
                </c:pt>
                <c:pt idx="14">
                  <c:v>-0.56265765973996029</c:v>
                </c:pt>
                <c:pt idx="15">
                  <c:v>-0.56057624903054715</c:v>
                </c:pt>
                <c:pt idx="16">
                  <c:v>-0.55393669455673156</c:v>
                </c:pt>
                <c:pt idx="17">
                  <c:v>-0.52982497377577353</c:v>
                </c:pt>
                <c:pt idx="18">
                  <c:v>-0.52312427643642201</c:v>
                </c:pt>
                <c:pt idx="19">
                  <c:v>-0.51550656228453129</c:v>
                </c:pt>
                <c:pt idx="20">
                  <c:v>-0.51314330752121962</c:v>
                </c:pt>
                <c:pt idx="21">
                  <c:v>-0.49586312237647606</c:v>
                </c:pt>
                <c:pt idx="22">
                  <c:v>-0.49463080397721043</c:v>
                </c:pt>
                <c:pt idx="23">
                  <c:v>-0.47835682020610565</c:v>
                </c:pt>
                <c:pt idx="24">
                  <c:v>-0.4555580705508504</c:v>
                </c:pt>
                <c:pt idx="25">
                  <c:v>-0.45128865205006891</c:v>
                </c:pt>
                <c:pt idx="26">
                  <c:v>-0.44154368295249197</c:v>
                </c:pt>
                <c:pt idx="27">
                  <c:v>-0.4119913578237262</c:v>
                </c:pt>
                <c:pt idx="28">
                  <c:v>-0.40143623492802549</c:v>
                </c:pt>
                <c:pt idx="29">
                  <c:v>-0.39336412127733789</c:v>
                </c:pt>
                <c:pt idx="30">
                  <c:v>-0.32611525578808936</c:v>
                </c:pt>
                <c:pt idx="31">
                  <c:v>-0.31457239824564803</c:v>
                </c:pt>
                <c:pt idx="32">
                  <c:v>-0.31434505828652137</c:v>
                </c:pt>
                <c:pt idx="33">
                  <c:v>-0.28295459792272393</c:v>
                </c:pt>
                <c:pt idx="34">
                  <c:v>-0.28222233730074608</c:v>
                </c:pt>
                <c:pt idx="35">
                  <c:v>-0.27660762118353416</c:v>
                </c:pt>
                <c:pt idx="36">
                  <c:v>-0.27153841862374123</c:v>
                </c:pt>
                <c:pt idx="37">
                  <c:v>-0.27106359414903053</c:v>
                </c:pt>
                <c:pt idx="38">
                  <c:v>-0.27006221782837775</c:v>
                </c:pt>
                <c:pt idx="39">
                  <c:v>-0.25563575176446651</c:v>
                </c:pt>
                <c:pt idx="40">
                  <c:v>-0.23882841823439266</c:v>
                </c:pt>
                <c:pt idx="41">
                  <c:v>-0.23299946162513752</c:v>
                </c:pt>
                <c:pt idx="42">
                  <c:v>-0.2193681869792265</c:v>
                </c:pt>
                <c:pt idx="43">
                  <c:v>-0.20802466976791001</c:v>
                </c:pt>
                <c:pt idx="44">
                  <c:v>-0.20111912932692227</c:v>
                </c:pt>
                <c:pt idx="45">
                  <c:v>-0.19943068681297432</c:v>
                </c:pt>
                <c:pt idx="46">
                  <c:v>-0.1952280889074797</c:v>
                </c:pt>
                <c:pt idx="47">
                  <c:v>-0.18531322738111972</c:v>
                </c:pt>
                <c:pt idx="48">
                  <c:v>-0.18422937552332089</c:v>
                </c:pt>
                <c:pt idx="49">
                  <c:v>-0.18280567395976172</c:v>
                </c:pt>
                <c:pt idx="50">
                  <c:v>-0.18074519989759288</c:v>
                </c:pt>
                <c:pt idx="51">
                  <c:v>-0.16173218024261965</c:v>
                </c:pt>
                <c:pt idx="52">
                  <c:v>-0.15915752652464127</c:v>
                </c:pt>
                <c:pt idx="53">
                  <c:v>-0.1437606766672285</c:v>
                </c:pt>
                <c:pt idx="54">
                  <c:v>-0.1183928465532592</c:v>
                </c:pt>
                <c:pt idx="55">
                  <c:v>-0.11734987948206568</c:v>
                </c:pt>
                <c:pt idx="56">
                  <c:v>-9.117822808646546E-2</c:v>
                </c:pt>
                <c:pt idx="57">
                  <c:v>-7.5842706705254781E-2</c:v>
                </c:pt>
                <c:pt idx="58">
                  <c:v>-7.2367487675950609E-2</c:v>
                </c:pt>
                <c:pt idx="59">
                  <c:v>-7.0034127691799244E-2</c:v>
                </c:pt>
                <c:pt idx="60">
                  <c:v>-4.5600057973354625E-2</c:v>
                </c:pt>
                <c:pt idx="61">
                  <c:v>-3.1338975810697209E-2</c:v>
                </c:pt>
                <c:pt idx="62">
                  <c:v>-2.0484379636503923E-2</c:v>
                </c:pt>
                <c:pt idx="63">
                  <c:v>-8.5736743444254069E-4</c:v>
                </c:pt>
                <c:pt idx="64">
                  <c:v>6.298016333095459E-4</c:v>
                </c:pt>
                <c:pt idx="65">
                  <c:v>5.1467328195298851E-3</c:v>
                </c:pt>
                <c:pt idx="66">
                  <c:v>6.8663724172773949E-3</c:v>
                </c:pt>
                <c:pt idx="67">
                  <c:v>6.8663724172773949E-3</c:v>
                </c:pt>
                <c:pt idx="68">
                  <c:v>1.3695783128986515E-2</c:v>
                </c:pt>
                <c:pt idx="69">
                  <c:v>3.103344258017296E-2</c:v>
                </c:pt>
                <c:pt idx="70">
                  <c:v>4.4523933879465835E-2</c:v>
                </c:pt>
                <c:pt idx="71">
                  <c:v>5.3085687091589298E-2</c:v>
                </c:pt>
                <c:pt idx="72">
                  <c:v>6.5075876736187657E-2</c:v>
                </c:pt>
                <c:pt idx="73">
                  <c:v>6.5178941024971376E-2</c:v>
                </c:pt>
                <c:pt idx="74">
                  <c:v>0.10074990310014315</c:v>
                </c:pt>
                <c:pt idx="75">
                  <c:v>0.18533368245191328</c:v>
                </c:pt>
                <c:pt idx="76">
                  <c:v>0.18702713484227287</c:v>
                </c:pt>
                <c:pt idx="77">
                  <c:v>0.22617096407221585</c:v>
                </c:pt>
                <c:pt idx="78">
                  <c:v>0.23134185321108813</c:v>
                </c:pt>
                <c:pt idx="79">
                  <c:v>0.24132918570721984</c:v>
                </c:pt>
                <c:pt idx="80">
                  <c:v>0.27205561281576479</c:v>
                </c:pt>
                <c:pt idx="81">
                  <c:v>0.32732337022387364</c:v>
                </c:pt>
                <c:pt idx="82">
                  <c:v>0.35654093495993028</c:v>
                </c:pt>
                <c:pt idx="83">
                  <c:v>0.36610038458588762</c:v>
                </c:pt>
                <c:pt idx="84">
                  <c:v>0.40905200084347465</c:v>
                </c:pt>
                <c:pt idx="85">
                  <c:v>0.46294754352152684</c:v>
                </c:pt>
                <c:pt idx="86">
                  <c:v>0.48896644321308536</c:v>
                </c:pt>
                <c:pt idx="87">
                  <c:v>0.50505098257325265</c:v>
                </c:pt>
                <c:pt idx="88">
                  <c:v>0.52466935558664085</c:v>
                </c:pt>
                <c:pt idx="89">
                  <c:v>0.5473234023261615</c:v>
                </c:pt>
                <c:pt idx="90">
                  <c:v>0.5801856278515215</c:v>
                </c:pt>
                <c:pt idx="91">
                  <c:v>0.63292466538779668</c:v>
                </c:pt>
                <c:pt idx="92">
                  <c:v>0.6447759286345256</c:v>
                </c:pt>
                <c:pt idx="93">
                  <c:v>0.64667906833995159</c:v>
                </c:pt>
                <c:pt idx="94">
                  <c:v>0.66812676424780404</c:v>
                </c:pt>
                <c:pt idx="95">
                  <c:v>0.69966092002225411</c:v>
                </c:pt>
                <c:pt idx="96">
                  <c:v>0.97395945992609845</c:v>
                </c:pt>
                <c:pt idx="97">
                  <c:v>1.0380409987628365</c:v>
                </c:pt>
                <c:pt idx="98">
                  <c:v>1.0816221027484196</c:v>
                </c:pt>
              </c:numCache>
            </c:numRef>
          </c:xVal>
          <c:yVal>
            <c:numRef>
              <c:f>'Dec 8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0717-4115-8B74-B8AEDDAE6B31}"/>
            </c:ext>
          </c:extLst>
        </c:ser>
        <c:dLbls>
          <c:showLegendKey val="0"/>
          <c:showVal val="0"/>
          <c:showCatName val="0"/>
          <c:showSerName val="0"/>
          <c:showPercent val="0"/>
          <c:showBubbleSize val="0"/>
        </c:dLbls>
        <c:axId val="1864230943"/>
        <c:axId val="1864233343"/>
      </c:scatterChart>
      <c:valAx>
        <c:axId val="186423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64233343"/>
        <c:crosses val="autoZero"/>
        <c:crossBetween val="midCat"/>
      </c:valAx>
      <c:valAx>
        <c:axId val="186423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30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9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9 Test'!$B$3:$B$103</c:f>
              <c:numCache>
                <c:formatCode>General</c:formatCode>
                <c:ptCount val="101"/>
                <c:pt idx="0">
                  <c:v>-1.1557669378092625</c:v>
                </c:pt>
                <c:pt idx="1">
                  <c:v>-0.99062103643420241</c:v>
                </c:pt>
                <c:pt idx="2">
                  <c:v>-0.84719386579482869</c:v>
                </c:pt>
                <c:pt idx="3">
                  <c:v>-0.8053711962391743</c:v>
                </c:pt>
                <c:pt idx="4">
                  <c:v>-0.78758094452884952</c:v>
                </c:pt>
                <c:pt idx="5">
                  <c:v>-0.72929677443144059</c:v>
                </c:pt>
                <c:pt idx="6">
                  <c:v>-0.72887799051574431</c:v>
                </c:pt>
                <c:pt idx="7">
                  <c:v>-0.72226090186470637</c:v>
                </c:pt>
                <c:pt idx="8">
                  <c:v>-0.71713664042015046</c:v>
                </c:pt>
                <c:pt idx="9">
                  <c:v>-0.70354909336089466</c:v>
                </c:pt>
                <c:pt idx="10">
                  <c:v>-0.69070616227073278</c:v>
                </c:pt>
                <c:pt idx="11">
                  <c:v>-0.68526631630907553</c:v>
                </c:pt>
                <c:pt idx="12">
                  <c:v>-0.65109777961124182</c:v>
                </c:pt>
                <c:pt idx="13">
                  <c:v>-0.6458285747921434</c:v>
                </c:pt>
                <c:pt idx="14">
                  <c:v>-0.62324805318027809</c:v>
                </c:pt>
                <c:pt idx="15">
                  <c:v>-0.60897516407525509</c:v>
                </c:pt>
                <c:pt idx="16">
                  <c:v>-0.60641184166532514</c:v>
                </c:pt>
                <c:pt idx="17">
                  <c:v>-0.60493668946175372</c:v>
                </c:pt>
                <c:pt idx="18">
                  <c:v>-0.56299474017019069</c:v>
                </c:pt>
                <c:pt idx="19">
                  <c:v>-0.55995459532416447</c:v>
                </c:pt>
                <c:pt idx="20">
                  <c:v>-0.53516613168582117</c:v>
                </c:pt>
                <c:pt idx="21">
                  <c:v>-0.52680088478178466</c:v>
                </c:pt>
                <c:pt idx="22">
                  <c:v>-0.51508635446800755</c:v>
                </c:pt>
                <c:pt idx="23">
                  <c:v>-0.49347043344628988</c:v>
                </c:pt>
                <c:pt idx="24">
                  <c:v>-0.46894498980226273</c:v>
                </c:pt>
                <c:pt idx="25">
                  <c:v>-0.46318691591881317</c:v>
                </c:pt>
                <c:pt idx="26">
                  <c:v>-0.44978069813271843</c:v>
                </c:pt>
                <c:pt idx="27">
                  <c:v>-0.44386971436728745</c:v>
                </c:pt>
                <c:pt idx="28">
                  <c:v>-0.42139024260529218</c:v>
                </c:pt>
                <c:pt idx="29">
                  <c:v>-0.40027012542796525</c:v>
                </c:pt>
                <c:pt idx="30">
                  <c:v>-0.36833552214581816</c:v>
                </c:pt>
                <c:pt idx="31">
                  <c:v>-0.3396268070506131</c:v>
                </c:pt>
                <c:pt idx="32">
                  <c:v>-0.33574410177574165</c:v>
                </c:pt>
                <c:pt idx="33">
                  <c:v>-0.32422020028997278</c:v>
                </c:pt>
                <c:pt idx="34">
                  <c:v>-0.31575512563195124</c:v>
                </c:pt>
                <c:pt idx="35">
                  <c:v>-0.31240518550728685</c:v>
                </c:pt>
                <c:pt idx="36">
                  <c:v>-0.31142846618178133</c:v>
                </c:pt>
                <c:pt idx="37">
                  <c:v>-0.30907596513945346</c:v>
                </c:pt>
                <c:pt idx="38">
                  <c:v>-0.29696233451785647</c:v>
                </c:pt>
                <c:pt idx="39">
                  <c:v>-0.285919626472521</c:v>
                </c:pt>
                <c:pt idx="40">
                  <c:v>-0.27959750746040263</c:v>
                </c:pt>
                <c:pt idx="41">
                  <c:v>-0.27776078492465661</c:v>
                </c:pt>
                <c:pt idx="42">
                  <c:v>-0.25121257632513544</c:v>
                </c:pt>
                <c:pt idx="43">
                  <c:v>-0.24830239757460953</c:v>
                </c:pt>
                <c:pt idx="44">
                  <c:v>-0.23246183195320386</c:v>
                </c:pt>
                <c:pt idx="45">
                  <c:v>-0.22899061210613697</c:v>
                </c:pt>
                <c:pt idx="46">
                  <c:v>-0.22307105394220766</c:v>
                </c:pt>
                <c:pt idx="47">
                  <c:v>-0.2017649606186121</c:v>
                </c:pt>
                <c:pt idx="48">
                  <c:v>-0.18983209037449283</c:v>
                </c:pt>
                <c:pt idx="49">
                  <c:v>-0.16771239220912909</c:v>
                </c:pt>
                <c:pt idx="50">
                  <c:v>-0.16293430987390659</c:v>
                </c:pt>
                <c:pt idx="51">
                  <c:v>-0.15898635287089688</c:v>
                </c:pt>
                <c:pt idx="52">
                  <c:v>-0.14870304517033001</c:v>
                </c:pt>
                <c:pt idx="53">
                  <c:v>-0.14249372028505328</c:v>
                </c:pt>
                <c:pt idx="54">
                  <c:v>-0.11704855545301734</c:v>
                </c:pt>
                <c:pt idx="55">
                  <c:v>-0.11425887780193039</c:v>
                </c:pt>
                <c:pt idx="56">
                  <c:v>-0.1125462714725515</c:v>
                </c:pt>
                <c:pt idx="57">
                  <c:v>-0.1054482972882987</c:v>
                </c:pt>
                <c:pt idx="58">
                  <c:v>-9.6602314250594221E-2</c:v>
                </c:pt>
                <c:pt idx="59">
                  <c:v>-9.5304579820004787E-2</c:v>
                </c:pt>
                <c:pt idx="60">
                  <c:v>-6.6676271164452225E-2</c:v>
                </c:pt>
                <c:pt idx="61">
                  <c:v>-6.1001317757442768E-2</c:v>
                </c:pt>
                <c:pt idx="62">
                  <c:v>-4.7889619781277593E-2</c:v>
                </c:pt>
                <c:pt idx="63">
                  <c:v>-4.6956396549481506E-2</c:v>
                </c:pt>
                <c:pt idx="64">
                  <c:v>-4.3437913053623767E-2</c:v>
                </c:pt>
                <c:pt idx="65">
                  <c:v>-3.8207706417903178E-2</c:v>
                </c:pt>
                <c:pt idx="66">
                  <c:v>-3.4832674691374473E-2</c:v>
                </c:pt>
                <c:pt idx="67">
                  <c:v>-2.5209095944939787E-2</c:v>
                </c:pt>
                <c:pt idx="68">
                  <c:v>1.7053754565827622E-2</c:v>
                </c:pt>
                <c:pt idx="69">
                  <c:v>2.8568020317057383E-2</c:v>
                </c:pt>
                <c:pt idx="70">
                  <c:v>3.291239595575883E-2</c:v>
                </c:pt>
                <c:pt idx="71">
                  <c:v>3.6081174570948331E-2</c:v>
                </c:pt>
                <c:pt idx="72">
                  <c:v>4.6224972113833467E-2</c:v>
                </c:pt>
                <c:pt idx="73">
                  <c:v>8.0805493601443151E-2</c:v>
                </c:pt>
                <c:pt idx="74">
                  <c:v>0.10037912912784536</c:v>
                </c:pt>
                <c:pt idx="75">
                  <c:v>0.11771192201675734</c:v>
                </c:pt>
                <c:pt idx="76">
                  <c:v>0.17480168664353971</c:v>
                </c:pt>
                <c:pt idx="77">
                  <c:v>0.18698566292083144</c:v>
                </c:pt>
                <c:pt idx="78">
                  <c:v>0.21459511734425032</c:v>
                </c:pt>
                <c:pt idx="79">
                  <c:v>0.23782721669936197</c:v>
                </c:pt>
                <c:pt idx="80">
                  <c:v>0.2581708690773924</c:v>
                </c:pt>
                <c:pt idx="81">
                  <c:v>0.31209171818153791</c:v>
                </c:pt>
                <c:pt idx="82">
                  <c:v>0.33361816763830648</c:v>
                </c:pt>
                <c:pt idx="83">
                  <c:v>0.36442781263454443</c:v>
                </c:pt>
                <c:pt idx="84">
                  <c:v>0.41269888117004316</c:v>
                </c:pt>
                <c:pt idx="85">
                  <c:v>0.4392544312642388</c:v>
                </c:pt>
                <c:pt idx="86">
                  <c:v>0.44021430043498327</c:v>
                </c:pt>
                <c:pt idx="87">
                  <c:v>0.44779636312160254</c:v>
                </c:pt>
                <c:pt idx="88">
                  <c:v>0.46878413596597812</c:v>
                </c:pt>
                <c:pt idx="89">
                  <c:v>0.53374691239037597</c:v>
                </c:pt>
                <c:pt idx="90">
                  <c:v>0.58610747807894148</c:v>
                </c:pt>
                <c:pt idx="91">
                  <c:v>0.60467109504467886</c:v>
                </c:pt>
                <c:pt idx="92">
                  <c:v>0.60876507128731072</c:v>
                </c:pt>
                <c:pt idx="93">
                  <c:v>0.62470772733742419</c:v>
                </c:pt>
                <c:pt idx="94">
                  <c:v>0.72343387316481766</c:v>
                </c:pt>
                <c:pt idx="95">
                  <c:v>0.76224871280976891</c:v>
                </c:pt>
                <c:pt idx="96">
                  <c:v>0.96092369541840528</c:v>
                </c:pt>
                <c:pt idx="97">
                  <c:v>1.0469364649852058</c:v>
                </c:pt>
                <c:pt idx="98">
                  <c:v>1.0642830593444828</c:v>
                </c:pt>
              </c:numCache>
            </c:numRef>
          </c:xVal>
          <c:yVal>
            <c:numRef>
              <c:f>'Dec 9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D4C9-4362-AEAE-8B036920A5E0}"/>
            </c:ext>
          </c:extLst>
        </c:ser>
        <c:dLbls>
          <c:showLegendKey val="0"/>
          <c:showVal val="0"/>
          <c:showCatName val="0"/>
          <c:showSerName val="0"/>
          <c:showPercent val="0"/>
          <c:showBubbleSize val="0"/>
        </c:dLbls>
        <c:axId val="1864234783"/>
        <c:axId val="1864235743"/>
      </c:scatterChart>
      <c:valAx>
        <c:axId val="1864234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64235743"/>
        <c:crosses val="autoZero"/>
        <c:crossBetween val="midCat"/>
      </c:valAx>
      <c:valAx>
        <c:axId val="186423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34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'Hi 10 Test'!$E$2</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'Hi 10 Test'!$B$3:$B$103</c:f>
              <c:numCache>
                <c:formatCode>General</c:formatCode>
                <c:ptCount val="101"/>
                <c:pt idx="0">
                  <c:v>-1.1073332055604179</c:v>
                </c:pt>
                <c:pt idx="1">
                  <c:v>-0.90500465985718748</c:v>
                </c:pt>
                <c:pt idx="2">
                  <c:v>-0.88799243247048676</c:v>
                </c:pt>
                <c:pt idx="3">
                  <c:v>-0.8743837261914571</c:v>
                </c:pt>
                <c:pt idx="4">
                  <c:v>-0.76210290987953277</c:v>
                </c:pt>
                <c:pt idx="5">
                  <c:v>-0.66741510839491147</c:v>
                </c:pt>
                <c:pt idx="6">
                  <c:v>-0.66442756528876601</c:v>
                </c:pt>
                <c:pt idx="7">
                  <c:v>-0.65645466059549773</c:v>
                </c:pt>
                <c:pt idx="8">
                  <c:v>-0.65049773684258838</c:v>
                </c:pt>
                <c:pt idx="9">
                  <c:v>-0.64612810765666762</c:v>
                </c:pt>
                <c:pt idx="10">
                  <c:v>-0.64172999384736584</c:v>
                </c:pt>
                <c:pt idx="11">
                  <c:v>-0.62971802454037207</c:v>
                </c:pt>
                <c:pt idx="12">
                  <c:v>-0.59286755076960695</c:v>
                </c:pt>
                <c:pt idx="13">
                  <c:v>-0.58578985984495346</c:v>
                </c:pt>
                <c:pt idx="14">
                  <c:v>-0.5735701994308422</c:v>
                </c:pt>
                <c:pt idx="15">
                  <c:v>-0.5553279936779606</c:v>
                </c:pt>
                <c:pt idx="16">
                  <c:v>-0.549119566503672</c:v>
                </c:pt>
                <c:pt idx="17">
                  <c:v>-0.53997297733081884</c:v>
                </c:pt>
                <c:pt idx="18">
                  <c:v>-0.5316969218874773</c:v>
                </c:pt>
                <c:pt idx="19">
                  <c:v>-0.53122562945711893</c:v>
                </c:pt>
                <c:pt idx="20">
                  <c:v>-0.51802480915936311</c:v>
                </c:pt>
                <c:pt idx="21">
                  <c:v>-0.51787709371275892</c:v>
                </c:pt>
                <c:pt idx="22">
                  <c:v>-0.50139853208879914</c:v>
                </c:pt>
                <c:pt idx="23">
                  <c:v>-0.4953985684096866</c:v>
                </c:pt>
                <c:pt idx="24">
                  <c:v>-0.4848216762292904</c:v>
                </c:pt>
                <c:pt idx="25">
                  <c:v>-0.4691991529236032</c:v>
                </c:pt>
                <c:pt idx="26">
                  <c:v>-0.44879806495740937</c:v>
                </c:pt>
                <c:pt idx="27">
                  <c:v>-0.43272942469635378</c:v>
                </c:pt>
                <c:pt idx="28">
                  <c:v>-0.41707423400141663</c:v>
                </c:pt>
                <c:pt idx="29">
                  <c:v>-0.41298531410804068</c:v>
                </c:pt>
                <c:pt idx="30">
                  <c:v>-0.40416944783856079</c:v>
                </c:pt>
                <c:pt idx="31">
                  <c:v>-0.40345512946929935</c:v>
                </c:pt>
                <c:pt idx="32">
                  <c:v>-0.39279521130236544</c:v>
                </c:pt>
                <c:pt idx="33">
                  <c:v>-0.38210704416841784</c:v>
                </c:pt>
                <c:pt idx="34">
                  <c:v>-0.37869708968753918</c:v>
                </c:pt>
                <c:pt idx="35">
                  <c:v>-0.34149221565834281</c:v>
                </c:pt>
                <c:pt idx="36">
                  <c:v>-0.3394947999669774</c:v>
                </c:pt>
                <c:pt idx="37">
                  <c:v>-0.33483797275816757</c:v>
                </c:pt>
                <c:pt idx="38">
                  <c:v>-0.32884857075109358</c:v>
                </c:pt>
                <c:pt idx="39">
                  <c:v>-0.31469567646007818</c:v>
                </c:pt>
                <c:pt idx="40">
                  <c:v>-0.28858381223024987</c:v>
                </c:pt>
                <c:pt idx="41">
                  <c:v>-0.25741543017322827</c:v>
                </c:pt>
                <c:pt idx="42">
                  <c:v>-0.25314023691267939</c:v>
                </c:pt>
                <c:pt idx="43">
                  <c:v>-0.23323176667300946</c:v>
                </c:pt>
                <c:pt idx="44">
                  <c:v>-0.23277983148645565</c:v>
                </c:pt>
                <c:pt idx="45">
                  <c:v>-0.21587379017803032</c:v>
                </c:pt>
                <c:pt idx="46">
                  <c:v>-0.21005211928472775</c:v>
                </c:pt>
                <c:pt idx="47">
                  <c:v>-0.19523538246338004</c:v>
                </c:pt>
                <c:pt idx="48">
                  <c:v>-0.18767385482056398</c:v>
                </c:pt>
                <c:pt idx="49">
                  <c:v>-0.187026206322704</c:v>
                </c:pt>
                <c:pt idx="50">
                  <c:v>-0.18424741005945808</c:v>
                </c:pt>
                <c:pt idx="51">
                  <c:v>-0.18030559022077736</c:v>
                </c:pt>
                <c:pt idx="52">
                  <c:v>-0.17465581382349699</c:v>
                </c:pt>
                <c:pt idx="53">
                  <c:v>-0.16802701234930556</c:v>
                </c:pt>
                <c:pt idx="54">
                  <c:v>-0.16588458697407657</c:v>
                </c:pt>
                <c:pt idx="55">
                  <c:v>-0.16253775320435157</c:v>
                </c:pt>
                <c:pt idx="56">
                  <c:v>-0.1464487493202804</c:v>
                </c:pt>
                <c:pt idx="57">
                  <c:v>-0.14372719360301692</c:v>
                </c:pt>
                <c:pt idx="58">
                  <c:v>-0.10201168481198046</c:v>
                </c:pt>
                <c:pt idx="59">
                  <c:v>-7.80047856479711E-2</c:v>
                </c:pt>
                <c:pt idx="60">
                  <c:v>-5.1240664193596172E-2</c:v>
                </c:pt>
                <c:pt idx="61">
                  <c:v>-2.4361342466378402E-2</c:v>
                </c:pt>
                <c:pt idx="62">
                  <c:v>-2.3612596018287881E-2</c:v>
                </c:pt>
                <c:pt idx="63">
                  <c:v>-1.034027687223559E-2</c:v>
                </c:pt>
                <c:pt idx="64">
                  <c:v>3.5636426759385865E-3</c:v>
                </c:pt>
                <c:pt idx="65">
                  <c:v>1.8919884852510768E-2</c:v>
                </c:pt>
                <c:pt idx="66">
                  <c:v>2.7440054425390978E-2</c:v>
                </c:pt>
                <c:pt idx="67">
                  <c:v>4.5374814687990289E-2</c:v>
                </c:pt>
                <c:pt idx="68">
                  <c:v>5.4440835678246299E-2</c:v>
                </c:pt>
                <c:pt idx="69">
                  <c:v>6.2467628318475174E-2</c:v>
                </c:pt>
                <c:pt idx="70">
                  <c:v>6.4447892030877765E-2</c:v>
                </c:pt>
                <c:pt idx="71">
                  <c:v>7.8875873340900154E-2</c:v>
                </c:pt>
                <c:pt idx="72">
                  <c:v>8.4828162176245184E-2</c:v>
                </c:pt>
                <c:pt idx="73">
                  <c:v>0.11271242402845112</c:v>
                </c:pt>
                <c:pt idx="74">
                  <c:v>0.11744520081884267</c:v>
                </c:pt>
                <c:pt idx="75">
                  <c:v>0.14030092753134216</c:v>
                </c:pt>
                <c:pt idx="76">
                  <c:v>0.16210184252909679</c:v>
                </c:pt>
                <c:pt idx="77">
                  <c:v>0.17761884971373726</c:v>
                </c:pt>
                <c:pt idx="78">
                  <c:v>0.18615586310390125</c:v>
                </c:pt>
                <c:pt idx="79">
                  <c:v>0.19482637793242907</c:v>
                </c:pt>
                <c:pt idx="80">
                  <c:v>0.21144337036597319</c:v>
                </c:pt>
                <c:pt idx="81">
                  <c:v>0.27154506854163057</c:v>
                </c:pt>
                <c:pt idx="82">
                  <c:v>0.34333435264165785</c:v>
                </c:pt>
                <c:pt idx="83">
                  <c:v>0.35935834040791387</c:v>
                </c:pt>
                <c:pt idx="84">
                  <c:v>0.3623209750655505</c:v>
                </c:pt>
                <c:pt idx="85">
                  <c:v>0.37481344224198665</c:v>
                </c:pt>
                <c:pt idx="86">
                  <c:v>0.39535416435743537</c:v>
                </c:pt>
                <c:pt idx="87">
                  <c:v>0.40682418414579541</c:v>
                </c:pt>
                <c:pt idx="88">
                  <c:v>0.4543251111086497</c:v>
                </c:pt>
                <c:pt idx="89">
                  <c:v>0.45700703824995048</c:v>
                </c:pt>
                <c:pt idx="90">
                  <c:v>0.46760700964588658</c:v>
                </c:pt>
                <c:pt idx="91">
                  <c:v>0.48572317720514924</c:v>
                </c:pt>
                <c:pt idx="92">
                  <c:v>0.50370432741836924</c:v>
                </c:pt>
                <c:pt idx="93">
                  <c:v>0.62714091614733936</c:v>
                </c:pt>
                <c:pt idx="94">
                  <c:v>0.63076100812384961</c:v>
                </c:pt>
                <c:pt idx="95">
                  <c:v>0.67868815078232558</c:v>
                </c:pt>
                <c:pt idx="96">
                  <c:v>0.88375514339754058</c:v>
                </c:pt>
                <c:pt idx="97">
                  <c:v>0.88843431974392306</c:v>
                </c:pt>
                <c:pt idx="98">
                  <c:v>1.0332698889511609</c:v>
                </c:pt>
              </c:numCache>
            </c:numRef>
          </c:xVal>
          <c:yVal>
            <c:numRef>
              <c:f>'Hi 10 Test'!$E$3:$E$103</c:f>
              <c:numCache>
                <c:formatCode>General</c:formatCode>
                <c:ptCount val="101"/>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FC24-4D3C-AC7B-F9EF997C9888}"/>
            </c:ext>
          </c:extLst>
        </c:ser>
        <c:dLbls>
          <c:showLegendKey val="0"/>
          <c:showVal val="0"/>
          <c:showCatName val="0"/>
          <c:showSerName val="0"/>
          <c:showPercent val="0"/>
          <c:showBubbleSize val="0"/>
        </c:dLbls>
        <c:axId val="1904304447"/>
        <c:axId val="1904304927"/>
      </c:scatterChart>
      <c:valAx>
        <c:axId val="190430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04304927"/>
        <c:crosses val="autoZero"/>
        <c:crossBetween val="midCat"/>
      </c:valAx>
      <c:valAx>
        <c:axId val="190430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044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11</xdr:col>
      <xdr:colOff>228600</xdr:colOff>
      <xdr:row>2</xdr:row>
      <xdr:rowOff>0</xdr:rowOff>
    </xdr:from>
    <xdr:to>
      <xdr:col>23</xdr:col>
      <xdr:colOff>10886</xdr:colOff>
      <xdr:row>25</xdr:row>
      <xdr:rowOff>163285</xdr:rowOff>
    </xdr:to>
    <xdr:graphicFrame macro="">
      <xdr:nvGraphicFramePr>
        <xdr:cNvPr id="2" name="Chart 1">
          <a:extLst>
            <a:ext uri="{FF2B5EF4-FFF2-40B4-BE49-F238E27FC236}">
              <a16:creationId xmlns:a16="http://schemas.microsoft.com/office/drawing/2014/main" id="{0B75AA7D-DFA9-D9AF-88B5-9B38303D3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167640</xdr:colOff>
      <xdr:row>6</xdr:row>
      <xdr:rowOff>68580</xdr:rowOff>
    </xdr:from>
    <xdr:to>
      <xdr:col>13</xdr:col>
      <xdr:colOff>76200</xdr:colOff>
      <xdr:row>23</xdr:row>
      <xdr:rowOff>114300</xdr:rowOff>
    </xdr:to>
    <xdr:graphicFrame macro="">
      <xdr:nvGraphicFramePr>
        <xdr:cNvPr id="2" name="Chart 1">
          <a:extLst>
            <a:ext uri="{FF2B5EF4-FFF2-40B4-BE49-F238E27FC236}">
              <a16:creationId xmlns:a16="http://schemas.microsoft.com/office/drawing/2014/main" id="{6E5FED76-AFAE-D1CD-D9B8-A3D8AD500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601980</xdr:colOff>
      <xdr:row>5</xdr:row>
      <xdr:rowOff>0</xdr:rowOff>
    </xdr:from>
    <xdr:to>
      <xdr:col>13</xdr:col>
      <xdr:colOff>518160</xdr:colOff>
      <xdr:row>22</xdr:row>
      <xdr:rowOff>45720</xdr:rowOff>
    </xdr:to>
    <xdr:graphicFrame macro="">
      <xdr:nvGraphicFramePr>
        <xdr:cNvPr id="2" name="Chart 1">
          <a:extLst>
            <a:ext uri="{FF2B5EF4-FFF2-40B4-BE49-F238E27FC236}">
              <a16:creationId xmlns:a16="http://schemas.microsoft.com/office/drawing/2014/main" id="{699C8893-AFE3-EEAF-A3E1-D67FECB54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5</xdr:row>
      <xdr:rowOff>7620</xdr:rowOff>
    </xdr:from>
    <xdr:to>
      <xdr:col>13</xdr:col>
      <xdr:colOff>304800</xdr:colOff>
      <xdr:row>20</xdr:row>
      <xdr:rowOff>7620</xdr:rowOff>
    </xdr:to>
    <xdr:graphicFrame macro="">
      <xdr:nvGraphicFramePr>
        <xdr:cNvPr id="5" name="Chart 4">
          <a:extLst>
            <a:ext uri="{FF2B5EF4-FFF2-40B4-BE49-F238E27FC236}">
              <a16:creationId xmlns:a16="http://schemas.microsoft.com/office/drawing/2014/main" id="{CC9ABDF6-7A83-D735-06CD-A64F99D8F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5</xdr:row>
      <xdr:rowOff>0</xdr:rowOff>
    </xdr:from>
    <xdr:to>
      <xdr:col>13</xdr:col>
      <xdr:colOff>304800</xdr:colOff>
      <xdr:row>20</xdr:row>
      <xdr:rowOff>0</xdr:rowOff>
    </xdr:to>
    <xdr:graphicFrame macro="">
      <xdr:nvGraphicFramePr>
        <xdr:cNvPr id="3" name="Chart 2">
          <a:extLst>
            <a:ext uri="{FF2B5EF4-FFF2-40B4-BE49-F238E27FC236}">
              <a16:creationId xmlns:a16="http://schemas.microsoft.com/office/drawing/2014/main" id="{20D38B6C-AA01-BF2B-1C3E-AD5484C33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5</xdr:row>
      <xdr:rowOff>0</xdr:rowOff>
    </xdr:from>
    <xdr:to>
      <xdr:col>13</xdr:col>
      <xdr:colOff>304800</xdr:colOff>
      <xdr:row>20</xdr:row>
      <xdr:rowOff>0</xdr:rowOff>
    </xdr:to>
    <xdr:graphicFrame macro="">
      <xdr:nvGraphicFramePr>
        <xdr:cNvPr id="2" name="Chart 1">
          <a:extLst>
            <a:ext uri="{FF2B5EF4-FFF2-40B4-BE49-F238E27FC236}">
              <a16:creationId xmlns:a16="http://schemas.microsoft.com/office/drawing/2014/main" id="{22DD9E3C-2AA1-6039-8B2D-1AAEC0C16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5</xdr:row>
      <xdr:rowOff>0</xdr:rowOff>
    </xdr:from>
    <xdr:to>
      <xdr:col>13</xdr:col>
      <xdr:colOff>304800</xdr:colOff>
      <xdr:row>20</xdr:row>
      <xdr:rowOff>0</xdr:rowOff>
    </xdr:to>
    <xdr:graphicFrame macro="">
      <xdr:nvGraphicFramePr>
        <xdr:cNvPr id="3" name="Chart 2">
          <a:extLst>
            <a:ext uri="{FF2B5EF4-FFF2-40B4-BE49-F238E27FC236}">
              <a16:creationId xmlns:a16="http://schemas.microsoft.com/office/drawing/2014/main" id="{C25DAD34-4579-98F6-3036-9ECB388A6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xdr:colOff>
      <xdr:row>5</xdr:row>
      <xdr:rowOff>0</xdr:rowOff>
    </xdr:from>
    <xdr:to>
      <xdr:col>13</xdr:col>
      <xdr:colOff>312420</xdr:colOff>
      <xdr:row>20</xdr:row>
      <xdr:rowOff>0</xdr:rowOff>
    </xdr:to>
    <xdr:graphicFrame macro="">
      <xdr:nvGraphicFramePr>
        <xdr:cNvPr id="2" name="Chart 1">
          <a:extLst>
            <a:ext uri="{FF2B5EF4-FFF2-40B4-BE49-F238E27FC236}">
              <a16:creationId xmlns:a16="http://schemas.microsoft.com/office/drawing/2014/main" id="{1C804399-9FCB-3D0D-AF9C-A1AA464AC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4</xdr:row>
      <xdr:rowOff>175260</xdr:rowOff>
    </xdr:from>
    <xdr:to>
      <xdr:col>13</xdr:col>
      <xdr:colOff>304800</xdr:colOff>
      <xdr:row>19</xdr:row>
      <xdr:rowOff>175260</xdr:rowOff>
    </xdr:to>
    <xdr:graphicFrame macro="">
      <xdr:nvGraphicFramePr>
        <xdr:cNvPr id="2" name="Chart 1">
          <a:extLst>
            <a:ext uri="{FF2B5EF4-FFF2-40B4-BE49-F238E27FC236}">
              <a16:creationId xmlns:a16="http://schemas.microsoft.com/office/drawing/2014/main" id="{B7D5293A-F872-6320-5D8C-7E8A4B2D8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5</xdr:row>
      <xdr:rowOff>0</xdr:rowOff>
    </xdr:from>
    <xdr:to>
      <xdr:col>13</xdr:col>
      <xdr:colOff>304800</xdr:colOff>
      <xdr:row>20</xdr:row>
      <xdr:rowOff>0</xdr:rowOff>
    </xdr:to>
    <xdr:graphicFrame macro="">
      <xdr:nvGraphicFramePr>
        <xdr:cNvPr id="2" name="Chart 1">
          <a:extLst>
            <a:ext uri="{FF2B5EF4-FFF2-40B4-BE49-F238E27FC236}">
              <a16:creationId xmlns:a16="http://schemas.microsoft.com/office/drawing/2014/main" id="{4B2E1884-D259-E89B-5DC6-C8A8A06EB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594360</xdr:colOff>
      <xdr:row>5</xdr:row>
      <xdr:rowOff>0</xdr:rowOff>
    </xdr:from>
    <xdr:to>
      <xdr:col>13</xdr:col>
      <xdr:colOff>289560</xdr:colOff>
      <xdr:row>20</xdr:row>
      <xdr:rowOff>0</xdr:rowOff>
    </xdr:to>
    <xdr:graphicFrame macro="">
      <xdr:nvGraphicFramePr>
        <xdr:cNvPr id="2" name="Chart 1">
          <a:extLst>
            <a:ext uri="{FF2B5EF4-FFF2-40B4-BE49-F238E27FC236}">
              <a16:creationId xmlns:a16="http://schemas.microsoft.com/office/drawing/2014/main" id="{FFCA1583-E479-D795-3D72-6996B28CF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2875-EF6E-4973-A369-72A069C1F549}">
  <dimension ref="A1:A6"/>
  <sheetViews>
    <sheetView tabSelected="1" workbookViewId="0"/>
  </sheetViews>
  <sheetFormatPr defaultRowHeight="14.4" x14ac:dyDescent="0.3"/>
  <cols>
    <col min="1" max="1" width="160.109375" style="1" customWidth="1"/>
  </cols>
  <sheetData>
    <row r="1" spans="1:1" x14ac:dyDescent="0.3">
      <c r="A1" s="1" t="s">
        <v>17</v>
      </c>
    </row>
    <row r="3" spans="1:1" x14ac:dyDescent="0.3">
      <c r="A3" s="1" t="s">
        <v>18</v>
      </c>
    </row>
    <row r="4" spans="1:1" x14ac:dyDescent="0.3">
      <c r="A4" s="1" t="s">
        <v>20</v>
      </c>
    </row>
    <row r="5" spans="1:1" x14ac:dyDescent="0.3">
      <c r="A5" s="1" t="s">
        <v>31</v>
      </c>
    </row>
    <row r="6" spans="1:1" ht="43.2" x14ac:dyDescent="0.3">
      <c r="A6" s="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BBB3-13AE-48AF-93FD-A0019C664838}">
  <dimension ref="A1:K102"/>
  <sheetViews>
    <sheetView workbookViewId="0">
      <selection activeCell="K3" sqref="K3"/>
    </sheetView>
  </sheetViews>
  <sheetFormatPr defaultRowHeight="14.4" x14ac:dyDescent="0.3"/>
  <sheetData>
    <row r="1" spans="1:11" x14ac:dyDescent="0.3">
      <c r="A1" t="s">
        <v>0</v>
      </c>
      <c r="F1" t="s">
        <v>2</v>
      </c>
    </row>
    <row r="3" spans="1:11" x14ac:dyDescent="0.3">
      <c r="A3" t="s">
        <v>1</v>
      </c>
      <c r="B3" t="s">
        <v>21</v>
      </c>
      <c r="C3" s="2" t="s">
        <v>22</v>
      </c>
      <c r="D3" s="2" t="s">
        <v>25</v>
      </c>
      <c r="E3" t="s">
        <v>24</v>
      </c>
      <c r="F3" t="s">
        <v>26</v>
      </c>
      <c r="G3" t="s">
        <v>27</v>
      </c>
      <c r="H3" t="s">
        <v>28</v>
      </c>
      <c r="I3" t="s">
        <v>29</v>
      </c>
      <c r="J3" t="s">
        <v>30</v>
      </c>
      <c r="K3" t="s">
        <v>23</v>
      </c>
    </row>
    <row r="4" spans="1:11" x14ac:dyDescent="0.3">
      <c r="A4">
        <v>1927</v>
      </c>
      <c r="B4">
        <v>1.08935</v>
      </c>
      <c r="C4">
        <v>0.80032999999999999</v>
      </c>
      <c r="D4">
        <v>0.78796999999999995</v>
      </c>
      <c r="E4">
        <v>0.66251000000000004</v>
      </c>
      <c r="F4">
        <v>0.573685</v>
      </c>
      <c r="G4">
        <v>0.63465899999999997</v>
      </c>
      <c r="H4">
        <v>0.590229</v>
      </c>
      <c r="I4">
        <v>0.57088000000000005</v>
      </c>
      <c r="J4">
        <v>0.56950100000000003</v>
      </c>
      <c r="K4">
        <v>0.51868700000000001</v>
      </c>
    </row>
    <row r="5" spans="1:11" x14ac:dyDescent="0.3">
      <c r="A5">
        <v>1928</v>
      </c>
      <c r="B5">
        <v>1.47142</v>
      </c>
      <c r="C5">
        <v>1.2187300000000001</v>
      </c>
      <c r="D5">
        <v>1.02284</v>
      </c>
      <c r="E5">
        <v>0.88997800000000005</v>
      </c>
      <c r="F5">
        <v>0.96023099999999995</v>
      </c>
      <c r="G5">
        <v>0.99749100000000002</v>
      </c>
      <c r="H5">
        <v>0.90066900000000005</v>
      </c>
      <c r="I5">
        <v>0.93236200000000002</v>
      </c>
      <c r="J5">
        <v>0.79533600000000004</v>
      </c>
      <c r="K5">
        <v>0.79232800000000003</v>
      </c>
    </row>
    <row r="6" spans="1:11" x14ac:dyDescent="0.3">
      <c r="A6">
        <v>1929</v>
      </c>
      <c r="B6">
        <v>1.83826</v>
      </c>
      <c r="C6">
        <v>1.64181</v>
      </c>
      <c r="D6">
        <v>1.7021200000000001</v>
      </c>
      <c r="E6">
        <v>1.6231</v>
      </c>
      <c r="F6">
        <v>1.74563</v>
      </c>
      <c r="G6">
        <v>1.7027399999999999</v>
      </c>
      <c r="H6">
        <v>1.82778</v>
      </c>
      <c r="I6">
        <v>1.8831100000000001</v>
      </c>
      <c r="J6">
        <v>1.8676999999999999</v>
      </c>
      <c r="K6">
        <v>1.87225</v>
      </c>
    </row>
    <row r="7" spans="1:11" x14ac:dyDescent="0.3">
      <c r="A7">
        <v>1930</v>
      </c>
      <c r="B7">
        <v>1.9434100000000001</v>
      </c>
      <c r="C7">
        <v>1.7704500000000001</v>
      </c>
      <c r="D7">
        <v>1.5482499999999999</v>
      </c>
      <c r="E7">
        <v>1.30857</v>
      </c>
      <c r="F7">
        <v>1.3774900000000001</v>
      </c>
      <c r="G7">
        <v>1.28081</v>
      </c>
      <c r="H7">
        <v>1.32643</v>
      </c>
      <c r="I7">
        <v>1.2602899999999999</v>
      </c>
      <c r="J7">
        <v>1.39601</v>
      </c>
      <c r="K7">
        <v>1.43241</v>
      </c>
    </row>
    <row r="8" spans="1:11" x14ac:dyDescent="0.3">
      <c r="A8">
        <v>1931</v>
      </c>
      <c r="B8">
        <v>2.1920299999999999</v>
      </c>
      <c r="C8">
        <v>2.23719</v>
      </c>
      <c r="D8">
        <v>1.9878199999999999</v>
      </c>
      <c r="E8">
        <v>1.6570199999999999</v>
      </c>
      <c r="F8">
        <v>1.8227100000000001</v>
      </c>
      <c r="G8">
        <v>1.94536</v>
      </c>
      <c r="H8">
        <v>1.84212</v>
      </c>
      <c r="I8">
        <v>1.95058</v>
      </c>
      <c r="J8">
        <v>2.1430899999999999</v>
      </c>
      <c r="K8">
        <v>1.97129</v>
      </c>
    </row>
    <row r="9" spans="1:11" x14ac:dyDescent="0.3">
      <c r="A9">
        <v>1932</v>
      </c>
      <c r="B9">
        <v>3.0480800000000001</v>
      </c>
      <c r="C9">
        <v>2.8836900000000001</v>
      </c>
      <c r="D9">
        <v>2.6777199999999999</v>
      </c>
      <c r="E9">
        <v>2.5723500000000001</v>
      </c>
      <c r="F9">
        <v>2.4967199999999998</v>
      </c>
      <c r="G9">
        <v>2.7415799999999999</v>
      </c>
      <c r="H9">
        <v>2.5311699999999999</v>
      </c>
      <c r="I9">
        <v>2.82368</v>
      </c>
      <c r="J9">
        <v>2.8987599999999998</v>
      </c>
      <c r="K9">
        <v>2.8102399999999998</v>
      </c>
    </row>
    <row r="10" spans="1:11" x14ac:dyDescent="0.3">
      <c r="A10">
        <v>1933</v>
      </c>
      <c r="B10">
        <v>3.3980299999999999</v>
      </c>
      <c r="C10">
        <v>3.4474900000000002</v>
      </c>
      <c r="D10">
        <v>3.3176100000000002</v>
      </c>
      <c r="E10">
        <v>3.2648600000000001</v>
      </c>
      <c r="F10">
        <v>3.0965400000000001</v>
      </c>
      <c r="G10">
        <v>3.0013200000000002</v>
      </c>
      <c r="H10">
        <v>3.0164200000000001</v>
      </c>
      <c r="I10">
        <v>2.9494600000000002</v>
      </c>
      <c r="J10">
        <v>2.8489100000000001</v>
      </c>
      <c r="K10">
        <v>2.4199700000000002</v>
      </c>
    </row>
    <row r="11" spans="1:11" x14ac:dyDescent="0.3">
      <c r="A11">
        <v>1934</v>
      </c>
      <c r="B11">
        <v>2.02163</v>
      </c>
      <c r="C11">
        <v>2.0275500000000002</v>
      </c>
      <c r="D11">
        <v>1.8477699999999999</v>
      </c>
      <c r="E11">
        <v>1.8656299999999999</v>
      </c>
      <c r="F11">
        <v>1.7723</v>
      </c>
      <c r="G11">
        <v>1.7029700000000001</v>
      </c>
      <c r="H11">
        <v>1.6991400000000001</v>
      </c>
      <c r="I11">
        <v>1.5887500000000001</v>
      </c>
      <c r="J11">
        <v>1.4396899999999999</v>
      </c>
      <c r="K11">
        <v>1.2151000000000001</v>
      </c>
    </row>
    <row r="12" spans="1:11" x14ac:dyDescent="0.3">
      <c r="A12">
        <v>1935</v>
      </c>
      <c r="B12">
        <v>1.84114</v>
      </c>
      <c r="C12">
        <v>1.6346799999999999</v>
      </c>
      <c r="D12">
        <v>1.4390700000000001</v>
      </c>
      <c r="E12">
        <v>1.4135899999999999</v>
      </c>
      <c r="F12">
        <v>1.22949</v>
      </c>
      <c r="G12">
        <v>1.2816099999999999</v>
      </c>
      <c r="H12">
        <v>1.1467799999999999</v>
      </c>
      <c r="I12">
        <v>1.0545199999999999</v>
      </c>
      <c r="J12">
        <v>1.1055900000000001</v>
      </c>
      <c r="K12">
        <v>0.866124</v>
      </c>
    </row>
    <row r="13" spans="1:11" x14ac:dyDescent="0.3">
      <c r="A13">
        <v>1936</v>
      </c>
      <c r="B13">
        <v>1.5919300000000001</v>
      </c>
      <c r="C13">
        <v>1.3628499999999999</v>
      </c>
      <c r="D13">
        <v>1.2827599999999999</v>
      </c>
      <c r="E13">
        <v>1.3336300000000001</v>
      </c>
      <c r="F13">
        <v>1.15219</v>
      </c>
      <c r="G13">
        <v>1.1424000000000001</v>
      </c>
      <c r="H13">
        <v>1.0548599999999999</v>
      </c>
      <c r="I13">
        <v>0.93018900000000004</v>
      </c>
      <c r="J13">
        <v>0.97510600000000003</v>
      </c>
      <c r="K13">
        <v>0.82942199999999999</v>
      </c>
    </row>
    <row r="14" spans="1:11" x14ac:dyDescent="0.3">
      <c r="A14">
        <v>1937</v>
      </c>
      <c r="B14">
        <v>2.79454</v>
      </c>
      <c r="C14">
        <v>2.61225</v>
      </c>
      <c r="D14">
        <v>2.3218899999999998</v>
      </c>
      <c r="E14">
        <v>2.12744</v>
      </c>
      <c r="F14">
        <v>2.12121</v>
      </c>
      <c r="G14">
        <v>1.97966</v>
      </c>
      <c r="H14">
        <v>1.99064</v>
      </c>
      <c r="I14">
        <v>1.78637</v>
      </c>
      <c r="J14">
        <v>1.83816</v>
      </c>
      <c r="K14">
        <v>1.48491</v>
      </c>
    </row>
    <row r="15" spans="1:11" x14ac:dyDescent="0.3">
      <c r="A15">
        <v>1938</v>
      </c>
      <c r="B15">
        <v>1.9976400000000001</v>
      </c>
      <c r="C15">
        <v>2.2089799999999999</v>
      </c>
      <c r="D15">
        <v>2.1072299999999999</v>
      </c>
      <c r="E15">
        <v>1.9227099999999999</v>
      </c>
      <c r="F15">
        <v>2.0626099999999998</v>
      </c>
      <c r="G15">
        <v>2.0247799999999998</v>
      </c>
      <c r="H15">
        <v>2.0024299999999999</v>
      </c>
      <c r="I15">
        <v>1.72862</v>
      </c>
      <c r="J15">
        <v>1.79698</v>
      </c>
      <c r="K15">
        <v>1.5961700000000001</v>
      </c>
    </row>
    <row r="16" spans="1:11" x14ac:dyDescent="0.3">
      <c r="A16">
        <v>1939</v>
      </c>
      <c r="B16">
        <v>3.11693</v>
      </c>
      <c r="C16">
        <v>2.55193</v>
      </c>
      <c r="D16">
        <v>2.08039</v>
      </c>
      <c r="E16">
        <v>2.10717</v>
      </c>
      <c r="F16">
        <v>2.0272399999999999</v>
      </c>
      <c r="G16">
        <v>1.7499199999999999</v>
      </c>
      <c r="H16">
        <v>1.8539300000000001</v>
      </c>
      <c r="I16">
        <v>1.50539</v>
      </c>
      <c r="J16">
        <v>1.5108900000000001</v>
      </c>
      <c r="K16">
        <v>1.15062</v>
      </c>
    </row>
    <row r="17" spans="1:11" x14ac:dyDescent="0.3">
      <c r="A17">
        <v>1940</v>
      </c>
      <c r="B17">
        <v>1.9872099999999999</v>
      </c>
      <c r="C17">
        <v>1.9094500000000001</v>
      </c>
      <c r="D17">
        <v>1.5758700000000001</v>
      </c>
      <c r="E17">
        <v>1.7019599999999999</v>
      </c>
      <c r="F17">
        <v>1.45424</v>
      </c>
      <c r="G17">
        <v>1.3095000000000001</v>
      </c>
      <c r="H17">
        <v>1.45333</v>
      </c>
      <c r="I17">
        <v>1.25379</v>
      </c>
      <c r="J17">
        <v>1.1910099999999999</v>
      </c>
      <c r="K17">
        <v>1.0559499999999999</v>
      </c>
    </row>
    <row r="18" spans="1:11" x14ac:dyDescent="0.3">
      <c r="A18">
        <v>1941</v>
      </c>
      <c r="B18">
        <v>1.5254799999999999</v>
      </c>
      <c r="C18">
        <v>1.3449500000000001</v>
      </c>
      <c r="D18">
        <v>1.0730299999999999</v>
      </c>
      <c r="E18">
        <v>1.1940200000000001</v>
      </c>
      <c r="F18">
        <v>0.95911500000000005</v>
      </c>
      <c r="G18">
        <v>0.93776999999999999</v>
      </c>
      <c r="H18">
        <v>1.0297000000000001</v>
      </c>
      <c r="I18">
        <v>0.888347</v>
      </c>
      <c r="J18">
        <v>0.84964700000000004</v>
      </c>
      <c r="K18">
        <v>0.68242199999999997</v>
      </c>
    </row>
    <row r="19" spans="1:11" x14ac:dyDescent="0.3">
      <c r="A19">
        <v>1942</v>
      </c>
      <c r="B19">
        <v>1.28156</v>
      </c>
      <c r="C19">
        <v>0.90347999999999995</v>
      </c>
      <c r="D19">
        <v>0.65411699999999995</v>
      </c>
      <c r="E19">
        <v>0.77168800000000004</v>
      </c>
      <c r="F19">
        <v>0.64686900000000003</v>
      </c>
      <c r="G19">
        <v>0.61755199999999999</v>
      </c>
      <c r="H19">
        <v>0.66849700000000001</v>
      </c>
      <c r="I19">
        <v>0.64304300000000003</v>
      </c>
      <c r="J19">
        <v>0.67013900000000004</v>
      </c>
      <c r="K19">
        <v>0.68475299999999995</v>
      </c>
    </row>
    <row r="20" spans="1:11" x14ac:dyDescent="0.3">
      <c r="A20">
        <v>1943</v>
      </c>
      <c r="B20">
        <v>1.81674</v>
      </c>
      <c r="C20">
        <v>1.3625</v>
      </c>
      <c r="D20">
        <v>1.15995</v>
      </c>
      <c r="E20">
        <v>1.15571</v>
      </c>
      <c r="F20">
        <v>0.97795799999999999</v>
      </c>
      <c r="G20">
        <v>0.94055200000000005</v>
      </c>
      <c r="H20">
        <v>0.97784199999999999</v>
      </c>
      <c r="I20">
        <v>0.83174499999999996</v>
      </c>
      <c r="J20">
        <v>0.85300799999999999</v>
      </c>
      <c r="K20">
        <v>0.57745800000000003</v>
      </c>
    </row>
    <row r="21" spans="1:11" x14ac:dyDescent="0.3">
      <c r="A21">
        <v>1944</v>
      </c>
      <c r="B21">
        <v>1.0184599999999999</v>
      </c>
      <c r="C21">
        <v>0.80549000000000004</v>
      </c>
      <c r="D21">
        <v>0.77601699999999996</v>
      </c>
      <c r="E21">
        <v>0.695461</v>
      </c>
      <c r="F21">
        <v>0.66929400000000006</v>
      </c>
      <c r="G21">
        <v>0.67352299999999998</v>
      </c>
      <c r="H21">
        <v>0.68894</v>
      </c>
      <c r="I21">
        <v>0.59266600000000003</v>
      </c>
      <c r="J21">
        <v>0.54390799999999995</v>
      </c>
      <c r="K21">
        <v>0.40454000000000001</v>
      </c>
    </row>
    <row r="22" spans="1:11" x14ac:dyDescent="0.3">
      <c r="A22">
        <v>1945</v>
      </c>
      <c r="B22">
        <v>1.1940299999999999</v>
      </c>
      <c r="C22">
        <v>0.93225199999999997</v>
      </c>
      <c r="D22">
        <v>0.96210799999999996</v>
      </c>
      <c r="E22">
        <v>0.90527100000000005</v>
      </c>
      <c r="F22">
        <v>0.88411200000000001</v>
      </c>
      <c r="G22">
        <v>0.90545100000000001</v>
      </c>
      <c r="H22">
        <v>0.89116099999999998</v>
      </c>
      <c r="I22">
        <v>0.83084400000000003</v>
      </c>
      <c r="J22">
        <v>0.78012400000000004</v>
      </c>
      <c r="K22">
        <v>0.57388399999999995</v>
      </c>
    </row>
    <row r="23" spans="1:11" x14ac:dyDescent="0.3">
      <c r="A23">
        <v>1946</v>
      </c>
      <c r="B23">
        <v>1.7135</v>
      </c>
      <c r="C23">
        <v>1.63724</v>
      </c>
      <c r="D23">
        <v>1.58168</v>
      </c>
      <c r="E23">
        <v>1.4327399999999999</v>
      </c>
      <c r="F23">
        <v>1.53888</v>
      </c>
      <c r="G23">
        <v>1.52719</v>
      </c>
      <c r="H23">
        <v>1.5123200000000001</v>
      </c>
      <c r="I23">
        <v>1.3872500000000001</v>
      </c>
      <c r="J23">
        <v>1.3662799999999999</v>
      </c>
      <c r="K23">
        <v>1.08853</v>
      </c>
    </row>
    <row r="24" spans="1:11" x14ac:dyDescent="0.3">
      <c r="A24">
        <v>1947</v>
      </c>
      <c r="B24">
        <v>1.1130800000000001</v>
      </c>
      <c r="C24">
        <v>1.05409</v>
      </c>
      <c r="D24">
        <v>0.99782400000000004</v>
      </c>
      <c r="E24">
        <v>0.93142100000000005</v>
      </c>
      <c r="F24">
        <v>0.94074899999999995</v>
      </c>
      <c r="G24">
        <v>0.97331000000000001</v>
      </c>
      <c r="H24">
        <v>0.94563399999999997</v>
      </c>
      <c r="I24">
        <v>0.83464799999999995</v>
      </c>
      <c r="J24">
        <v>0.88954200000000005</v>
      </c>
      <c r="K24">
        <v>0.66800800000000005</v>
      </c>
    </row>
    <row r="25" spans="1:11" x14ac:dyDescent="0.3">
      <c r="A25">
        <v>1948</v>
      </c>
      <c r="B25">
        <v>1.06121</v>
      </c>
      <c r="C25">
        <v>1.04752</v>
      </c>
      <c r="D25">
        <v>1.04182</v>
      </c>
      <c r="E25">
        <v>0.88142200000000004</v>
      </c>
      <c r="F25">
        <v>0.87716899999999998</v>
      </c>
      <c r="G25">
        <v>1.00251</v>
      </c>
      <c r="H25">
        <v>0.98011099999999995</v>
      </c>
      <c r="I25">
        <v>0.85066900000000001</v>
      </c>
      <c r="J25">
        <v>0.89992099999999997</v>
      </c>
      <c r="K25">
        <v>0.74932399999999999</v>
      </c>
    </row>
    <row r="26" spans="1:11" x14ac:dyDescent="0.3">
      <c r="A26">
        <v>1949</v>
      </c>
      <c r="B26">
        <v>0.78140100000000001</v>
      </c>
      <c r="C26">
        <v>0.77456700000000001</v>
      </c>
      <c r="D26">
        <v>0.74150400000000005</v>
      </c>
      <c r="E26">
        <v>0.67696100000000003</v>
      </c>
      <c r="F26">
        <v>0.66008</v>
      </c>
      <c r="G26">
        <v>0.69629200000000002</v>
      </c>
      <c r="H26">
        <v>0.67234799999999995</v>
      </c>
      <c r="I26">
        <v>0.61980100000000005</v>
      </c>
      <c r="J26">
        <v>0.61050400000000005</v>
      </c>
      <c r="K26">
        <v>0.55274000000000001</v>
      </c>
    </row>
    <row r="27" spans="1:11" x14ac:dyDescent="0.3">
      <c r="A27">
        <v>1950</v>
      </c>
      <c r="B27">
        <v>1.11256</v>
      </c>
      <c r="C27">
        <v>1.0285200000000001</v>
      </c>
      <c r="D27">
        <v>0.97079700000000002</v>
      </c>
      <c r="E27">
        <v>0.951233</v>
      </c>
      <c r="F27">
        <v>0.85956399999999999</v>
      </c>
      <c r="G27">
        <v>0.90586999999999995</v>
      </c>
      <c r="H27">
        <v>0.85330799999999996</v>
      </c>
      <c r="I27">
        <v>0.81919699999999995</v>
      </c>
      <c r="J27">
        <v>0.80005800000000005</v>
      </c>
      <c r="K27">
        <v>0.79196999999999995</v>
      </c>
    </row>
    <row r="28" spans="1:11" x14ac:dyDescent="0.3">
      <c r="A28">
        <v>1951</v>
      </c>
      <c r="B28">
        <v>0.77564200000000005</v>
      </c>
      <c r="C28">
        <v>0.72225700000000004</v>
      </c>
      <c r="D28">
        <v>0.72857000000000005</v>
      </c>
      <c r="E28">
        <v>0.68110899999999996</v>
      </c>
      <c r="F28">
        <v>0.60800399999999999</v>
      </c>
      <c r="G28">
        <v>0.63620699999999997</v>
      </c>
      <c r="H28">
        <v>0.63809700000000003</v>
      </c>
      <c r="I28">
        <v>0.60904499999999995</v>
      </c>
      <c r="J28">
        <v>0.54530400000000001</v>
      </c>
      <c r="K28">
        <v>0.58788399999999996</v>
      </c>
    </row>
    <row r="29" spans="1:11" x14ac:dyDescent="0.3">
      <c r="A29">
        <v>1952</v>
      </c>
      <c r="B29">
        <v>0.39082099999999997</v>
      </c>
      <c r="C29">
        <v>0.403144</v>
      </c>
      <c r="D29">
        <v>0.39460600000000001</v>
      </c>
      <c r="E29">
        <v>0.38853500000000002</v>
      </c>
      <c r="F29">
        <v>0.399474</v>
      </c>
      <c r="G29">
        <v>0.38689400000000002</v>
      </c>
      <c r="H29">
        <v>0.40312999999999999</v>
      </c>
      <c r="I29">
        <v>0.42202299999999998</v>
      </c>
      <c r="J29">
        <v>0.37134600000000001</v>
      </c>
      <c r="K29">
        <v>0.46668399999999999</v>
      </c>
    </row>
    <row r="30" spans="1:11" x14ac:dyDescent="0.3">
      <c r="A30">
        <v>1953</v>
      </c>
      <c r="B30">
        <v>0.55962000000000001</v>
      </c>
      <c r="C30">
        <v>0.59731900000000004</v>
      </c>
      <c r="D30">
        <v>0.60908300000000004</v>
      </c>
      <c r="E30">
        <v>0.58858999999999995</v>
      </c>
      <c r="F30">
        <v>0.58666799999999997</v>
      </c>
      <c r="G30">
        <v>0.56768200000000002</v>
      </c>
      <c r="H30">
        <v>0.55759099999999995</v>
      </c>
      <c r="I30">
        <v>0.57468300000000005</v>
      </c>
      <c r="J30">
        <v>0.49482599999999999</v>
      </c>
      <c r="K30">
        <v>0.53274200000000005</v>
      </c>
    </row>
    <row r="31" spans="1:11" x14ac:dyDescent="0.3">
      <c r="A31">
        <v>1954</v>
      </c>
      <c r="B31">
        <v>0.53764400000000001</v>
      </c>
      <c r="C31">
        <v>0.49785800000000002</v>
      </c>
      <c r="D31">
        <v>0.48629600000000001</v>
      </c>
      <c r="E31">
        <v>0.47821900000000001</v>
      </c>
      <c r="F31">
        <v>0.50147299999999995</v>
      </c>
      <c r="G31">
        <v>0.497118</v>
      </c>
      <c r="H31">
        <v>0.453351</v>
      </c>
      <c r="I31">
        <v>0.47487600000000002</v>
      </c>
      <c r="J31">
        <v>0.45494400000000002</v>
      </c>
      <c r="K31">
        <v>0.51456800000000003</v>
      </c>
    </row>
    <row r="32" spans="1:11" x14ac:dyDescent="0.3">
      <c r="A32">
        <v>1955</v>
      </c>
      <c r="B32">
        <v>0.71731400000000001</v>
      </c>
      <c r="C32">
        <v>0.74699700000000002</v>
      </c>
      <c r="D32">
        <v>0.77513200000000004</v>
      </c>
      <c r="E32">
        <v>0.74277400000000005</v>
      </c>
      <c r="F32">
        <v>0.80758399999999997</v>
      </c>
      <c r="G32">
        <v>0.77654199999999995</v>
      </c>
      <c r="H32">
        <v>0.73889000000000005</v>
      </c>
      <c r="I32">
        <v>0.75410600000000005</v>
      </c>
      <c r="J32">
        <v>0.73240000000000005</v>
      </c>
      <c r="K32">
        <v>0.82888499999999998</v>
      </c>
    </row>
    <row r="33" spans="1:11" x14ac:dyDescent="0.3">
      <c r="A33">
        <v>1956</v>
      </c>
      <c r="B33">
        <v>0.44306800000000002</v>
      </c>
      <c r="C33">
        <v>0.47916700000000001</v>
      </c>
      <c r="D33">
        <v>0.52692600000000001</v>
      </c>
      <c r="E33">
        <v>0.53581199999999995</v>
      </c>
      <c r="F33">
        <v>0.554338</v>
      </c>
      <c r="G33">
        <v>0.57308099999999995</v>
      </c>
      <c r="H33">
        <v>0.60298300000000005</v>
      </c>
      <c r="I33">
        <v>0.569693</v>
      </c>
      <c r="J33">
        <v>0.58557199999999998</v>
      </c>
      <c r="K33">
        <v>0.71975199999999995</v>
      </c>
    </row>
    <row r="34" spans="1:11" x14ac:dyDescent="0.3">
      <c r="A34">
        <v>1957</v>
      </c>
      <c r="B34">
        <v>0.65908999999999995</v>
      </c>
      <c r="C34">
        <v>0.60498099999999999</v>
      </c>
      <c r="D34">
        <v>0.71038800000000002</v>
      </c>
      <c r="E34">
        <v>0.71933999999999998</v>
      </c>
      <c r="F34">
        <v>0.81145100000000003</v>
      </c>
      <c r="G34">
        <v>0.75436000000000003</v>
      </c>
      <c r="H34">
        <v>0.776478</v>
      </c>
      <c r="I34">
        <v>0.76333200000000001</v>
      </c>
      <c r="J34">
        <v>0.77785700000000002</v>
      </c>
      <c r="K34">
        <v>0.84714400000000001</v>
      </c>
    </row>
    <row r="35" spans="1:11" x14ac:dyDescent="0.3">
      <c r="A35">
        <v>1958</v>
      </c>
      <c r="B35">
        <v>0.54126799999999997</v>
      </c>
      <c r="C35">
        <v>0.475215</v>
      </c>
      <c r="D35">
        <v>0.53376599999999996</v>
      </c>
      <c r="E35">
        <v>0.51565000000000005</v>
      </c>
      <c r="F35">
        <v>0.54882299999999995</v>
      </c>
      <c r="G35">
        <v>0.49721300000000002</v>
      </c>
      <c r="H35">
        <v>0.509656</v>
      </c>
      <c r="I35">
        <v>0.48059499999999999</v>
      </c>
      <c r="J35">
        <v>0.48814800000000003</v>
      </c>
      <c r="K35">
        <v>0.58276399999999995</v>
      </c>
    </row>
    <row r="36" spans="1:11" x14ac:dyDescent="0.3">
      <c r="A36">
        <v>1959</v>
      </c>
      <c r="B36">
        <v>0.54421699999999995</v>
      </c>
      <c r="C36">
        <v>0.56804699999999997</v>
      </c>
      <c r="D36">
        <v>0.56227199999999999</v>
      </c>
      <c r="E36">
        <v>0.59643800000000002</v>
      </c>
      <c r="F36">
        <v>0.59359300000000004</v>
      </c>
      <c r="G36">
        <v>0.53957500000000003</v>
      </c>
      <c r="H36">
        <v>0.55281899999999995</v>
      </c>
      <c r="I36">
        <v>0.54466199999999998</v>
      </c>
      <c r="J36">
        <v>0.50122199999999995</v>
      </c>
      <c r="K36">
        <v>0.60568299999999997</v>
      </c>
    </row>
    <row r="37" spans="1:11" x14ac:dyDescent="0.3">
      <c r="A37">
        <v>1960</v>
      </c>
      <c r="B37">
        <v>0.52407199999999998</v>
      </c>
      <c r="C37">
        <v>0.53382399999999997</v>
      </c>
      <c r="D37">
        <v>0.56787600000000005</v>
      </c>
      <c r="E37">
        <v>0.57999400000000001</v>
      </c>
      <c r="F37">
        <v>0.67856499999999997</v>
      </c>
      <c r="G37">
        <v>0.61478299999999997</v>
      </c>
      <c r="H37">
        <v>0.569156</v>
      </c>
      <c r="I37">
        <v>0.598611</v>
      </c>
      <c r="J37">
        <v>0.57123500000000005</v>
      </c>
      <c r="K37">
        <v>0.66753099999999999</v>
      </c>
    </row>
    <row r="38" spans="1:11" x14ac:dyDescent="0.3">
      <c r="A38">
        <v>1961</v>
      </c>
      <c r="B38">
        <v>0.51457299999999995</v>
      </c>
      <c r="C38">
        <v>0.507386</v>
      </c>
      <c r="D38">
        <v>0.54445200000000005</v>
      </c>
      <c r="E38">
        <v>0.524594</v>
      </c>
      <c r="F38">
        <v>0.53012199999999998</v>
      </c>
      <c r="G38">
        <v>0.48823299999999997</v>
      </c>
      <c r="H38">
        <v>0.45898899999999998</v>
      </c>
      <c r="I38">
        <v>0.47964400000000001</v>
      </c>
      <c r="J38">
        <v>0.44692199999999999</v>
      </c>
      <c r="K38">
        <v>0.52178599999999997</v>
      </c>
    </row>
    <row r="39" spans="1:11" x14ac:dyDescent="0.3">
      <c r="A39">
        <v>1962</v>
      </c>
      <c r="B39">
        <v>0.92566899999999996</v>
      </c>
      <c r="C39">
        <v>0.96274099999999996</v>
      </c>
      <c r="D39">
        <v>1.0398499999999999</v>
      </c>
      <c r="E39">
        <v>1.0359</v>
      </c>
      <c r="F39">
        <v>1.0392399999999999</v>
      </c>
      <c r="G39">
        <v>0.93177600000000005</v>
      </c>
      <c r="H39">
        <v>1.01698</v>
      </c>
      <c r="I39">
        <v>1.0455300000000001</v>
      </c>
      <c r="J39">
        <v>1.08416</v>
      </c>
      <c r="K39">
        <v>1.0820700000000001</v>
      </c>
    </row>
    <row r="40" spans="1:11" x14ac:dyDescent="0.3">
      <c r="A40">
        <v>1963</v>
      </c>
      <c r="B40">
        <v>0.50490199999999996</v>
      </c>
      <c r="C40">
        <v>0.55041200000000001</v>
      </c>
      <c r="D40">
        <v>0.55965699999999996</v>
      </c>
      <c r="E40">
        <v>0.59187500000000004</v>
      </c>
      <c r="F40">
        <v>0.52315999999999996</v>
      </c>
      <c r="G40">
        <v>0.45974199999999998</v>
      </c>
      <c r="H40">
        <v>0.52301600000000004</v>
      </c>
      <c r="I40">
        <v>0.44693899999999998</v>
      </c>
      <c r="J40">
        <v>0.50395599999999996</v>
      </c>
      <c r="K40">
        <v>0.55666599999999999</v>
      </c>
    </row>
    <row r="41" spans="1:11" x14ac:dyDescent="0.3">
      <c r="A41">
        <v>1964</v>
      </c>
      <c r="B41">
        <v>0.317328</v>
      </c>
      <c r="C41">
        <v>0.35232400000000003</v>
      </c>
      <c r="D41">
        <v>0.36386600000000002</v>
      </c>
      <c r="E41">
        <v>0.39283200000000001</v>
      </c>
      <c r="F41">
        <v>0.35763899999999998</v>
      </c>
      <c r="G41">
        <v>0.32409500000000002</v>
      </c>
      <c r="H41">
        <v>0.32073099999999999</v>
      </c>
      <c r="I41">
        <v>0.31148500000000001</v>
      </c>
      <c r="J41">
        <v>0.31481599999999998</v>
      </c>
      <c r="K41">
        <v>0.33043899999999998</v>
      </c>
    </row>
    <row r="42" spans="1:11" x14ac:dyDescent="0.3">
      <c r="A42">
        <v>1965</v>
      </c>
      <c r="B42">
        <v>0.57700399999999996</v>
      </c>
      <c r="C42">
        <v>0.58055400000000001</v>
      </c>
      <c r="D42">
        <v>0.55757199999999996</v>
      </c>
      <c r="E42">
        <v>0.61762399999999995</v>
      </c>
      <c r="F42">
        <v>0.58090799999999998</v>
      </c>
      <c r="G42">
        <v>0.51300299999999999</v>
      </c>
      <c r="H42">
        <v>0.455372</v>
      </c>
      <c r="I42">
        <v>0.48645500000000003</v>
      </c>
      <c r="J42">
        <v>0.428616</v>
      </c>
      <c r="K42">
        <v>0.41148099999999999</v>
      </c>
    </row>
    <row r="43" spans="1:11" x14ac:dyDescent="0.3">
      <c r="A43">
        <v>1966</v>
      </c>
      <c r="B43">
        <v>0.94807600000000003</v>
      </c>
      <c r="C43">
        <v>0.94809500000000002</v>
      </c>
      <c r="D43">
        <v>0.90468899999999997</v>
      </c>
      <c r="E43">
        <v>0.95866799999999996</v>
      </c>
      <c r="F43">
        <v>0.87651100000000004</v>
      </c>
      <c r="G43">
        <v>0.84713899999999998</v>
      </c>
      <c r="H43">
        <v>0.81754700000000002</v>
      </c>
      <c r="I43">
        <v>0.78754999999999997</v>
      </c>
      <c r="J43">
        <v>0.75608799999999998</v>
      </c>
      <c r="K43">
        <v>0.73001099999999997</v>
      </c>
    </row>
    <row r="44" spans="1:11" x14ac:dyDescent="0.3">
      <c r="A44">
        <v>1967</v>
      </c>
      <c r="B44">
        <v>0.76034000000000002</v>
      </c>
      <c r="C44">
        <v>0.76849199999999995</v>
      </c>
      <c r="D44">
        <v>0.72052400000000005</v>
      </c>
      <c r="E44">
        <v>0.69563200000000003</v>
      </c>
      <c r="F44">
        <v>0.60740400000000005</v>
      </c>
      <c r="G44">
        <v>0.59148699999999999</v>
      </c>
      <c r="H44">
        <v>0.58005899999999999</v>
      </c>
      <c r="I44">
        <v>0.52257200000000004</v>
      </c>
      <c r="J44">
        <v>0.48224800000000001</v>
      </c>
      <c r="K44">
        <v>0.52407099999999995</v>
      </c>
    </row>
    <row r="45" spans="1:11" x14ac:dyDescent="0.3">
      <c r="A45">
        <v>1968</v>
      </c>
      <c r="B45">
        <v>0.89767300000000005</v>
      </c>
      <c r="C45">
        <v>0.85984499999999997</v>
      </c>
      <c r="D45">
        <v>0.7873</v>
      </c>
      <c r="E45">
        <v>0.75265300000000002</v>
      </c>
      <c r="F45">
        <v>0.700465</v>
      </c>
      <c r="G45">
        <v>0.67476499999999995</v>
      </c>
      <c r="H45">
        <v>0.666404</v>
      </c>
      <c r="I45">
        <v>0.58870800000000001</v>
      </c>
      <c r="J45">
        <v>0.54610899999999996</v>
      </c>
      <c r="K45">
        <v>0.58760699999999999</v>
      </c>
    </row>
    <row r="46" spans="1:11" x14ac:dyDescent="0.3">
      <c r="A46">
        <v>1969</v>
      </c>
      <c r="B46">
        <v>0.97585900000000003</v>
      </c>
      <c r="C46">
        <v>0.96845499999999995</v>
      </c>
      <c r="D46">
        <v>0.90398999999999996</v>
      </c>
      <c r="E46">
        <v>0.87773400000000001</v>
      </c>
      <c r="F46">
        <v>0.80408999999999997</v>
      </c>
      <c r="G46">
        <v>0.72439600000000004</v>
      </c>
      <c r="H46">
        <v>0.75769500000000001</v>
      </c>
      <c r="I46">
        <v>0.66232999999999997</v>
      </c>
      <c r="J46">
        <v>0.64154900000000004</v>
      </c>
      <c r="K46">
        <v>0.64873599999999998</v>
      </c>
    </row>
    <row r="47" spans="1:11" x14ac:dyDescent="0.3">
      <c r="A47">
        <v>1970</v>
      </c>
      <c r="B47">
        <v>1.26999</v>
      </c>
      <c r="C47">
        <v>1.29454</v>
      </c>
      <c r="D47">
        <v>1.3130200000000001</v>
      </c>
      <c r="E47">
        <v>1.2486900000000001</v>
      </c>
      <c r="F47">
        <v>1.13703</v>
      </c>
      <c r="G47">
        <v>1.04772</v>
      </c>
      <c r="H47">
        <v>1.07325</v>
      </c>
      <c r="I47">
        <v>0.97972400000000004</v>
      </c>
      <c r="J47">
        <v>0.96251299999999995</v>
      </c>
      <c r="K47">
        <v>0.97666399999999998</v>
      </c>
    </row>
    <row r="48" spans="1:11" x14ac:dyDescent="0.3">
      <c r="A48">
        <v>1971</v>
      </c>
      <c r="B48">
        <v>0.94863500000000001</v>
      </c>
      <c r="C48">
        <v>0.90944999999999998</v>
      </c>
      <c r="D48">
        <v>0.88946700000000001</v>
      </c>
      <c r="E48">
        <v>0.77603900000000003</v>
      </c>
      <c r="F48">
        <v>0.74136199999999997</v>
      </c>
      <c r="G48">
        <v>0.807925</v>
      </c>
      <c r="H48">
        <v>0.72203600000000001</v>
      </c>
      <c r="I48">
        <v>0.67478300000000002</v>
      </c>
      <c r="J48">
        <v>0.62566200000000005</v>
      </c>
      <c r="K48">
        <v>0.63839500000000005</v>
      </c>
    </row>
    <row r="49" spans="1:11" x14ac:dyDescent="0.3">
      <c r="A49">
        <v>1972</v>
      </c>
      <c r="B49">
        <v>0.62690000000000001</v>
      </c>
      <c r="C49">
        <v>0.61974300000000004</v>
      </c>
      <c r="D49">
        <v>0.57641799999999999</v>
      </c>
      <c r="E49">
        <v>0.530891</v>
      </c>
      <c r="F49">
        <v>0.51710500000000004</v>
      </c>
      <c r="G49">
        <v>0.54184699999999997</v>
      </c>
      <c r="H49">
        <v>0.52696500000000002</v>
      </c>
      <c r="I49">
        <v>0.457007</v>
      </c>
      <c r="J49">
        <v>0.48244999999999999</v>
      </c>
      <c r="K49">
        <v>0.52638099999999999</v>
      </c>
    </row>
    <row r="50" spans="1:11" x14ac:dyDescent="0.3">
      <c r="A50">
        <v>1973</v>
      </c>
      <c r="B50">
        <v>0.92738799999999999</v>
      </c>
      <c r="C50">
        <v>1.0307200000000001</v>
      </c>
      <c r="D50">
        <v>1.03111</v>
      </c>
      <c r="E50">
        <v>1.0232399999999999</v>
      </c>
      <c r="F50">
        <v>0.96776600000000002</v>
      </c>
      <c r="G50">
        <v>0.97387800000000002</v>
      </c>
      <c r="H50">
        <v>1.0088900000000001</v>
      </c>
      <c r="I50">
        <v>1.03152</v>
      </c>
      <c r="J50">
        <v>0.95749200000000001</v>
      </c>
      <c r="K50">
        <v>1.0190999999999999</v>
      </c>
    </row>
    <row r="51" spans="1:11" x14ac:dyDescent="0.3">
      <c r="A51">
        <v>1974</v>
      </c>
      <c r="B51">
        <v>0.78333900000000001</v>
      </c>
      <c r="C51">
        <v>0.98789199999999999</v>
      </c>
      <c r="D51">
        <v>1.02677</v>
      </c>
      <c r="E51">
        <v>0.98638800000000004</v>
      </c>
      <c r="F51">
        <v>1.0364199999999999</v>
      </c>
      <c r="G51">
        <v>1.10537</v>
      </c>
      <c r="H51">
        <v>1.24796</v>
      </c>
      <c r="I51">
        <v>1.20566</v>
      </c>
      <c r="J51">
        <v>1.2684899999999999</v>
      </c>
      <c r="K51">
        <v>1.45472</v>
      </c>
    </row>
    <row r="52" spans="1:11" x14ac:dyDescent="0.3">
      <c r="A52">
        <v>1975</v>
      </c>
      <c r="B52">
        <v>0.65656199999999998</v>
      </c>
      <c r="C52">
        <v>0.82239200000000001</v>
      </c>
      <c r="D52">
        <v>0.84924100000000002</v>
      </c>
      <c r="E52">
        <v>0.83552300000000002</v>
      </c>
      <c r="F52">
        <v>0.81818299999999999</v>
      </c>
      <c r="G52">
        <v>0.84624500000000002</v>
      </c>
      <c r="H52">
        <v>0.92621799999999999</v>
      </c>
      <c r="I52">
        <v>0.91285499999999997</v>
      </c>
      <c r="J52">
        <v>0.89202700000000001</v>
      </c>
      <c r="K52">
        <v>1.0035700000000001</v>
      </c>
    </row>
    <row r="53" spans="1:11" x14ac:dyDescent="0.3">
      <c r="A53">
        <v>1976</v>
      </c>
      <c r="B53">
        <v>0.52370700000000003</v>
      </c>
      <c r="C53">
        <v>0.59038999999999997</v>
      </c>
      <c r="D53">
        <v>0.64669900000000002</v>
      </c>
      <c r="E53">
        <v>0.62824800000000003</v>
      </c>
      <c r="F53">
        <v>0.62860400000000005</v>
      </c>
      <c r="G53">
        <v>0.66052</v>
      </c>
      <c r="H53">
        <v>0.61302400000000001</v>
      </c>
      <c r="I53">
        <v>0.63680700000000001</v>
      </c>
      <c r="J53">
        <v>0.637768</v>
      </c>
      <c r="K53">
        <v>0.71213000000000004</v>
      </c>
    </row>
    <row r="54" spans="1:11" x14ac:dyDescent="0.3">
      <c r="A54">
        <v>1977</v>
      </c>
      <c r="B54">
        <v>0.35998599999999997</v>
      </c>
      <c r="C54">
        <v>0.44030399999999997</v>
      </c>
      <c r="D54">
        <v>0.486319</v>
      </c>
      <c r="E54">
        <v>0.47075499999999998</v>
      </c>
      <c r="F54">
        <v>0.48125299999999999</v>
      </c>
      <c r="G54">
        <v>0.48819000000000001</v>
      </c>
      <c r="H54">
        <v>0.47406599999999999</v>
      </c>
      <c r="I54">
        <v>0.50130200000000003</v>
      </c>
      <c r="J54">
        <v>0.52147299999999996</v>
      </c>
      <c r="K54">
        <v>0.595696</v>
      </c>
    </row>
    <row r="55" spans="1:11" x14ac:dyDescent="0.3">
      <c r="A55">
        <v>1978</v>
      </c>
      <c r="B55">
        <v>0.81247800000000003</v>
      </c>
      <c r="C55">
        <v>0.87859200000000004</v>
      </c>
      <c r="D55">
        <v>0.90554599999999996</v>
      </c>
      <c r="E55">
        <v>0.86056200000000005</v>
      </c>
      <c r="F55">
        <v>0.81308499999999995</v>
      </c>
      <c r="G55">
        <v>0.82779700000000001</v>
      </c>
      <c r="H55">
        <v>0.77146400000000004</v>
      </c>
      <c r="I55">
        <v>0.75835200000000003</v>
      </c>
      <c r="J55">
        <v>0.72309100000000004</v>
      </c>
      <c r="K55">
        <v>0.82264099999999996</v>
      </c>
    </row>
    <row r="56" spans="1:11" x14ac:dyDescent="0.3">
      <c r="A56">
        <v>1979</v>
      </c>
      <c r="B56">
        <v>0.68234600000000001</v>
      </c>
      <c r="C56">
        <v>0.78540100000000002</v>
      </c>
      <c r="D56">
        <v>0.81405099999999997</v>
      </c>
      <c r="E56">
        <v>0.75722900000000004</v>
      </c>
      <c r="F56">
        <v>0.75680800000000004</v>
      </c>
      <c r="G56">
        <v>0.71129799999999999</v>
      </c>
      <c r="H56">
        <v>0.69008999999999998</v>
      </c>
      <c r="I56">
        <v>0.72172199999999997</v>
      </c>
      <c r="J56">
        <v>0.656134</v>
      </c>
      <c r="K56">
        <v>0.71070900000000004</v>
      </c>
    </row>
    <row r="57" spans="1:11" x14ac:dyDescent="0.3">
      <c r="A57">
        <v>1980</v>
      </c>
      <c r="B57">
        <v>0.98666900000000002</v>
      </c>
      <c r="C57">
        <v>1.09605</v>
      </c>
      <c r="D57">
        <v>1.08775</v>
      </c>
      <c r="E57">
        <v>1.0435300000000001</v>
      </c>
      <c r="F57">
        <v>1.03356</v>
      </c>
      <c r="G57">
        <v>0.97004299999999999</v>
      </c>
      <c r="H57">
        <v>0.99213200000000001</v>
      </c>
      <c r="I57">
        <v>0.96914699999999998</v>
      </c>
      <c r="J57">
        <v>0.96576700000000004</v>
      </c>
      <c r="K57">
        <v>1.12462</v>
      </c>
    </row>
    <row r="58" spans="1:11" x14ac:dyDescent="0.3">
      <c r="A58">
        <v>1981</v>
      </c>
      <c r="B58">
        <v>0.75364900000000001</v>
      </c>
      <c r="C58">
        <v>0.79972500000000002</v>
      </c>
      <c r="D58">
        <v>0.80771800000000005</v>
      </c>
      <c r="E58">
        <v>0.78219499999999997</v>
      </c>
      <c r="F58">
        <v>0.77329700000000001</v>
      </c>
      <c r="G58">
        <v>0.78681800000000002</v>
      </c>
      <c r="H58">
        <v>0.78928699999999996</v>
      </c>
      <c r="I58">
        <v>0.75355399999999995</v>
      </c>
      <c r="J58">
        <v>0.827098</v>
      </c>
      <c r="K58">
        <v>0.92496</v>
      </c>
    </row>
    <row r="59" spans="1:11" x14ac:dyDescent="0.3">
      <c r="A59">
        <v>1982</v>
      </c>
      <c r="B59">
        <v>0.703654</v>
      </c>
      <c r="C59">
        <v>0.76696699999999995</v>
      </c>
      <c r="D59">
        <v>0.82830300000000001</v>
      </c>
      <c r="E59">
        <v>0.82611000000000001</v>
      </c>
      <c r="F59">
        <v>0.88974900000000001</v>
      </c>
      <c r="G59">
        <v>0.89298999999999995</v>
      </c>
      <c r="H59">
        <v>0.97957399999999994</v>
      </c>
      <c r="I59">
        <v>1.0006299999999999</v>
      </c>
      <c r="J59">
        <v>1.03346</v>
      </c>
      <c r="K59">
        <v>1.20461</v>
      </c>
    </row>
    <row r="60" spans="1:11" x14ac:dyDescent="0.3">
      <c r="A60">
        <v>1983</v>
      </c>
      <c r="B60">
        <v>0.67224799999999996</v>
      </c>
      <c r="C60">
        <v>0.65463499999999997</v>
      </c>
      <c r="D60">
        <v>0.65700899999999995</v>
      </c>
      <c r="E60">
        <v>0.68996900000000005</v>
      </c>
      <c r="F60">
        <v>0.70197699999999996</v>
      </c>
      <c r="G60">
        <v>0.731989</v>
      </c>
      <c r="H60">
        <v>0.72689999999999999</v>
      </c>
      <c r="I60">
        <v>0.76256800000000002</v>
      </c>
      <c r="J60">
        <v>0.74307199999999995</v>
      </c>
      <c r="K60">
        <v>0.86377000000000004</v>
      </c>
    </row>
    <row r="61" spans="1:11" x14ac:dyDescent="0.3">
      <c r="A61">
        <v>1984</v>
      </c>
      <c r="B61">
        <v>0.45159199999999999</v>
      </c>
      <c r="C61">
        <v>0.51921300000000004</v>
      </c>
      <c r="D61">
        <v>0.59767400000000004</v>
      </c>
      <c r="E61">
        <v>0.60002200000000006</v>
      </c>
      <c r="F61">
        <v>0.67611100000000002</v>
      </c>
      <c r="G61">
        <v>0.74206399999999995</v>
      </c>
      <c r="H61">
        <v>0.72129500000000002</v>
      </c>
      <c r="I61">
        <v>0.76220600000000005</v>
      </c>
      <c r="J61">
        <v>0.75132299999999996</v>
      </c>
      <c r="K61">
        <v>0.83172999999999997</v>
      </c>
    </row>
    <row r="62" spans="1:11" x14ac:dyDescent="0.3">
      <c r="A62">
        <v>1985</v>
      </c>
      <c r="B62">
        <v>0.37979400000000002</v>
      </c>
      <c r="C62">
        <v>0.42327399999999998</v>
      </c>
      <c r="D62">
        <v>0.49448999999999999</v>
      </c>
      <c r="E62">
        <v>0.47818500000000003</v>
      </c>
      <c r="F62">
        <v>0.48095100000000002</v>
      </c>
      <c r="G62">
        <v>0.51414400000000005</v>
      </c>
      <c r="H62">
        <v>0.54093999999999998</v>
      </c>
      <c r="I62">
        <v>0.548458</v>
      </c>
      <c r="J62">
        <v>0.59049099999999999</v>
      </c>
      <c r="K62">
        <v>0.658972</v>
      </c>
    </row>
    <row r="63" spans="1:11" x14ac:dyDescent="0.3">
      <c r="A63">
        <v>1986</v>
      </c>
      <c r="B63">
        <v>0.49000300000000002</v>
      </c>
      <c r="C63">
        <v>0.59376099999999998</v>
      </c>
      <c r="D63">
        <v>0.64616600000000002</v>
      </c>
      <c r="E63">
        <v>0.66388999999999998</v>
      </c>
      <c r="F63">
        <v>0.64933399999999997</v>
      </c>
      <c r="G63">
        <v>0.70406199999999997</v>
      </c>
      <c r="H63">
        <v>0.71420099999999997</v>
      </c>
      <c r="I63">
        <v>0.79215400000000002</v>
      </c>
      <c r="J63">
        <v>0.86719299999999999</v>
      </c>
      <c r="K63">
        <v>0.95004999999999995</v>
      </c>
    </row>
    <row r="64" spans="1:11" x14ac:dyDescent="0.3">
      <c r="A64">
        <v>1987</v>
      </c>
      <c r="B64">
        <v>1.2313400000000001</v>
      </c>
      <c r="C64">
        <v>1.47356</v>
      </c>
      <c r="D64">
        <v>1.48109</v>
      </c>
      <c r="E64">
        <v>1.6982699999999999</v>
      </c>
      <c r="F64">
        <v>1.8092900000000001</v>
      </c>
      <c r="G64">
        <v>1.39845</v>
      </c>
      <c r="H64">
        <v>1.4461999999999999</v>
      </c>
      <c r="I64">
        <v>1.4420999999999999</v>
      </c>
      <c r="J64">
        <v>1.55155</v>
      </c>
      <c r="K64">
        <v>1.6253500000000001</v>
      </c>
    </row>
    <row r="65" spans="1:11" x14ac:dyDescent="0.3">
      <c r="A65">
        <v>1988</v>
      </c>
      <c r="B65">
        <v>0.47595100000000001</v>
      </c>
      <c r="C65">
        <v>0.55485600000000002</v>
      </c>
      <c r="D65">
        <v>0.56678700000000004</v>
      </c>
      <c r="E65">
        <v>0.62326400000000004</v>
      </c>
      <c r="F65">
        <v>0.59851299999999996</v>
      </c>
      <c r="G65">
        <v>0.66646499999999997</v>
      </c>
      <c r="H65">
        <v>0.73634699999999997</v>
      </c>
      <c r="I65">
        <v>0.82264700000000002</v>
      </c>
      <c r="J65">
        <v>0.89355600000000002</v>
      </c>
      <c r="K65">
        <v>1.06657</v>
      </c>
    </row>
    <row r="66" spans="1:11" x14ac:dyDescent="0.3">
      <c r="A66">
        <v>1989</v>
      </c>
      <c r="B66">
        <v>0.43964599999999998</v>
      </c>
      <c r="C66">
        <v>0.49411699999999997</v>
      </c>
      <c r="D66">
        <v>0.51464399999999999</v>
      </c>
      <c r="E66">
        <v>0.50398200000000004</v>
      </c>
      <c r="F66">
        <v>0.54288800000000004</v>
      </c>
      <c r="G66">
        <v>0.546624</v>
      </c>
      <c r="H66">
        <v>0.59304999999999997</v>
      </c>
      <c r="I66">
        <v>0.66935800000000001</v>
      </c>
      <c r="J66">
        <v>0.71480600000000005</v>
      </c>
      <c r="K66">
        <v>0.83974599999999999</v>
      </c>
    </row>
    <row r="67" spans="1:11" x14ac:dyDescent="0.3">
      <c r="A67">
        <v>1990</v>
      </c>
      <c r="B67">
        <v>0.58760999999999997</v>
      </c>
      <c r="C67">
        <v>0.79047100000000003</v>
      </c>
      <c r="D67">
        <v>0.81687900000000002</v>
      </c>
      <c r="E67">
        <v>0.838785</v>
      </c>
      <c r="F67">
        <v>0.89396699999999996</v>
      </c>
      <c r="G67">
        <v>0.86337900000000001</v>
      </c>
      <c r="H67">
        <v>0.86326000000000003</v>
      </c>
      <c r="I67">
        <v>0.92696199999999995</v>
      </c>
      <c r="J67">
        <v>0.93549800000000005</v>
      </c>
      <c r="K67">
        <v>1.02782</v>
      </c>
    </row>
    <row r="68" spans="1:11" x14ac:dyDescent="0.3">
      <c r="A68">
        <v>1991</v>
      </c>
      <c r="B68">
        <v>0.59358200000000005</v>
      </c>
      <c r="C68">
        <v>0.78545399999999999</v>
      </c>
      <c r="D68">
        <v>0.78625100000000003</v>
      </c>
      <c r="E68">
        <v>0.79445399999999999</v>
      </c>
      <c r="F68">
        <v>0.80838399999999999</v>
      </c>
      <c r="G68">
        <v>0.798153</v>
      </c>
      <c r="H68">
        <v>0.78293800000000002</v>
      </c>
      <c r="I68">
        <v>0.81781499999999996</v>
      </c>
      <c r="J68">
        <v>0.86182499999999995</v>
      </c>
      <c r="K68">
        <v>0.90301900000000002</v>
      </c>
    </row>
    <row r="69" spans="1:11" x14ac:dyDescent="0.3">
      <c r="A69">
        <v>1992</v>
      </c>
      <c r="B69">
        <v>0.53994900000000001</v>
      </c>
      <c r="C69">
        <v>0.68119399999999997</v>
      </c>
      <c r="D69">
        <v>0.63389099999999998</v>
      </c>
      <c r="E69">
        <v>0.64836300000000002</v>
      </c>
      <c r="F69">
        <v>0.67210199999999998</v>
      </c>
      <c r="G69">
        <v>0.67122899999999996</v>
      </c>
      <c r="H69">
        <v>0.61123000000000005</v>
      </c>
      <c r="I69">
        <v>0.609796</v>
      </c>
      <c r="J69">
        <v>0.62927500000000003</v>
      </c>
      <c r="K69">
        <v>0.60932799999999998</v>
      </c>
    </row>
    <row r="70" spans="1:11" x14ac:dyDescent="0.3">
      <c r="A70">
        <v>1993</v>
      </c>
      <c r="B70">
        <v>0.46570299999999998</v>
      </c>
      <c r="C70">
        <v>0.54535699999999998</v>
      </c>
      <c r="D70">
        <v>0.58966300000000005</v>
      </c>
      <c r="E70">
        <v>0.57642800000000005</v>
      </c>
      <c r="F70">
        <v>0.58309200000000005</v>
      </c>
      <c r="G70">
        <v>0.58095699999999995</v>
      </c>
      <c r="H70">
        <v>0.52560700000000005</v>
      </c>
      <c r="I70">
        <v>0.59719800000000001</v>
      </c>
      <c r="J70">
        <v>0.53620000000000001</v>
      </c>
      <c r="K70">
        <v>0.56350999999999996</v>
      </c>
    </row>
    <row r="71" spans="1:11" x14ac:dyDescent="0.3">
      <c r="A71">
        <v>1994</v>
      </c>
      <c r="B71">
        <v>0.52533200000000002</v>
      </c>
      <c r="C71">
        <v>0.60630700000000004</v>
      </c>
      <c r="D71">
        <v>0.63804799999999995</v>
      </c>
      <c r="E71">
        <v>0.62788299999999997</v>
      </c>
      <c r="F71">
        <v>0.66483899999999996</v>
      </c>
      <c r="G71">
        <v>0.630413</v>
      </c>
      <c r="H71">
        <v>0.64971599999999996</v>
      </c>
      <c r="I71">
        <v>0.63409400000000005</v>
      </c>
      <c r="J71">
        <v>0.59744900000000001</v>
      </c>
      <c r="K71">
        <v>0.62550300000000003</v>
      </c>
    </row>
    <row r="72" spans="1:11" x14ac:dyDescent="0.3">
      <c r="A72">
        <v>1995</v>
      </c>
      <c r="B72">
        <v>0.43343300000000001</v>
      </c>
      <c r="C72">
        <v>0.52726200000000001</v>
      </c>
      <c r="D72">
        <v>0.56821699999999997</v>
      </c>
      <c r="E72">
        <v>0.54076999999999997</v>
      </c>
      <c r="F72">
        <v>0.53071100000000004</v>
      </c>
      <c r="G72">
        <v>0.55199200000000004</v>
      </c>
      <c r="H72">
        <v>0.56613899999999995</v>
      </c>
      <c r="I72">
        <v>0.56150999999999995</v>
      </c>
      <c r="J72">
        <v>0.52422800000000003</v>
      </c>
      <c r="K72">
        <v>0.51303299999999996</v>
      </c>
    </row>
    <row r="73" spans="1:11" x14ac:dyDescent="0.3">
      <c r="A73">
        <v>1996</v>
      </c>
      <c r="B73">
        <v>0.61197000000000001</v>
      </c>
      <c r="C73">
        <v>0.73972000000000004</v>
      </c>
      <c r="D73">
        <v>0.75356299999999998</v>
      </c>
      <c r="E73">
        <v>0.75183100000000003</v>
      </c>
      <c r="F73">
        <v>0.71880100000000002</v>
      </c>
      <c r="G73">
        <v>0.70601599999999998</v>
      </c>
      <c r="H73">
        <v>0.67530800000000002</v>
      </c>
      <c r="I73">
        <v>0.730101</v>
      </c>
      <c r="J73">
        <v>0.69188499999999997</v>
      </c>
      <c r="K73">
        <v>0.77304700000000004</v>
      </c>
    </row>
    <row r="74" spans="1:11" x14ac:dyDescent="0.3">
      <c r="A74">
        <v>1997</v>
      </c>
      <c r="B74">
        <v>0.63789600000000002</v>
      </c>
      <c r="C74">
        <v>0.77283400000000002</v>
      </c>
      <c r="D74">
        <v>0.81996000000000002</v>
      </c>
      <c r="E74">
        <v>0.84445599999999998</v>
      </c>
      <c r="F74">
        <v>0.87757399999999997</v>
      </c>
      <c r="G74">
        <v>0.88137200000000004</v>
      </c>
      <c r="H74">
        <v>0.83577599999999996</v>
      </c>
      <c r="I74">
        <v>0.86609499999999995</v>
      </c>
      <c r="J74">
        <v>0.95323899999999995</v>
      </c>
      <c r="K74">
        <v>1.17598</v>
      </c>
    </row>
    <row r="75" spans="1:11" x14ac:dyDescent="0.3">
      <c r="A75">
        <v>1998</v>
      </c>
      <c r="B75">
        <v>0.94527000000000005</v>
      </c>
      <c r="C75">
        <v>1.149</v>
      </c>
      <c r="D75">
        <v>1.24143</v>
      </c>
      <c r="E75">
        <v>1.3072999999999999</v>
      </c>
      <c r="F75">
        <v>1.3646100000000001</v>
      </c>
      <c r="G75">
        <v>1.3555299999999999</v>
      </c>
      <c r="H75">
        <v>1.2149799999999999</v>
      </c>
      <c r="I75">
        <v>1.2036199999999999</v>
      </c>
      <c r="J75">
        <v>1.2056100000000001</v>
      </c>
      <c r="K75">
        <v>1.31199</v>
      </c>
    </row>
    <row r="76" spans="1:11" x14ac:dyDescent="0.3">
      <c r="A76">
        <v>1999</v>
      </c>
      <c r="B76">
        <v>0.64877899999999999</v>
      </c>
      <c r="C76">
        <v>0.85577199999999998</v>
      </c>
      <c r="D76">
        <v>0.88264699999999996</v>
      </c>
      <c r="E76">
        <v>0.88232600000000005</v>
      </c>
      <c r="F76">
        <v>1.08473</v>
      </c>
      <c r="G76">
        <v>1.00637</v>
      </c>
      <c r="H76">
        <v>0.91606699999999996</v>
      </c>
      <c r="I76">
        <v>1.0051600000000001</v>
      </c>
      <c r="J76">
        <v>1.03674</v>
      </c>
      <c r="K76">
        <v>1.1943699999999999</v>
      </c>
    </row>
    <row r="77" spans="1:11" x14ac:dyDescent="0.3">
      <c r="A77">
        <v>2000</v>
      </c>
      <c r="B77">
        <v>1.70007</v>
      </c>
      <c r="C77">
        <v>1.71577</v>
      </c>
      <c r="D77">
        <v>1.7293799999999999</v>
      </c>
      <c r="E77">
        <v>1.8247</v>
      </c>
      <c r="F77">
        <v>1.9125399999999999</v>
      </c>
      <c r="G77">
        <v>1.8033999999999999</v>
      </c>
      <c r="H77">
        <v>1.9075</v>
      </c>
      <c r="I77">
        <v>1.9055599999999999</v>
      </c>
      <c r="J77">
        <v>1.7053100000000001</v>
      </c>
      <c r="K77">
        <v>1.50204</v>
      </c>
    </row>
    <row r="78" spans="1:11" x14ac:dyDescent="0.3">
      <c r="A78">
        <v>2001</v>
      </c>
      <c r="B78">
        <v>0.73216099999999995</v>
      </c>
      <c r="C78">
        <v>1.0942000000000001</v>
      </c>
      <c r="D78">
        <v>1.38192</v>
      </c>
      <c r="E78">
        <v>1.46922</v>
      </c>
      <c r="F78">
        <v>1.52406</v>
      </c>
      <c r="G78">
        <v>1.4374499999999999</v>
      </c>
      <c r="H78">
        <v>1.3262400000000001</v>
      </c>
      <c r="I78">
        <v>1.42838</v>
      </c>
      <c r="J78">
        <v>1.2945599999999999</v>
      </c>
      <c r="K78">
        <v>1.43666</v>
      </c>
    </row>
    <row r="79" spans="1:11" x14ac:dyDescent="0.3">
      <c r="A79">
        <v>2002</v>
      </c>
      <c r="B79">
        <v>0.79847000000000001</v>
      </c>
      <c r="C79">
        <v>1.4515400000000001</v>
      </c>
      <c r="D79">
        <v>1.6137900000000001</v>
      </c>
      <c r="E79">
        <v>1.621</v>
      </c>
      <c r="F79">
        <v>1.6985300000000001</v>
      </c>
      <c r="G79">
        <v>1.54847</v>
      </c>
      <c r="H79">
        <v>1.5601700000000001</v>
      </c>
      <c r="I79">
        <v>1.63063</v>
      </c>
      <c r="J79">
        <v>1.55304</v>
      </c>
      <c r="K79">
        <v>1.6548400000000001</v>
      </c>
    </row>
    <row r="80" spans="1:11" x14ac:dyDescent="0.3">
      <c r="A80">
        <v>2003</v>
      </c>
      <c r="B80">
        <v>0.707735</v>
      </c>
      <c r="C80">
        <v>1.22742</v>
      </c>
      <c r="D80">
        <v>1.22682</v>
      </c>
      <c r="E80">
        <v>1.19214</v>
      </c>
      <c r="F80">
        <v>1.2221200000000001</v>
      </c>
      <c r="G80">
        <v>1.02576</v>
      </c>
      <c r="H80">
        <v>1.04305</v>
      </c>
      <c r="I80">
        <v>1.1060000000000001</v>
      </c>
      <c r="J80">
        <v>1.02898</v>
      </c>
      <c r="K80">
        <v>1.0464199999999999</v>
      </c>
    </row>
    <row r="81" spans="1:11" x14ac:dyDescent="0.3">
      <c r="A81">
        <v>2004</v>
      </c>
      <c r="B81">
        <v>0.80646600000000002</v>
      </c>
      <c r="C81">
        <v>1.2324999999999999</v>
      </c>
      <c r="D81">
        <v>1.17862</v>
      </c>
      <c r="E81">
        <v>1.1309</v>
      </c>
      <c r="F81">
        <v>1.05416</v>
      </c>
      <c r="G81">
        <v>0.87290000000000001</v>
      </c>
      <c r="H81">
        <v>0.82429300000000005</v>
      </c>
      <c r="I81">
        <v>0.83292999999999995</v>
      </c>
      <c r="J81">
        <v>0.72923800000000005</v>
      </c>
      <c r="K81">
        <v>0.67516699999999996</v>
      </c>
    </row>
    <row r="82" spans="1:11" x14ac:dyDescent="0.3">
      <c r="A82">
        <v>2005</v>
      </c>
      <c r="B82">
        <v>0.63428899999999999</v>
      </c>
      <c r="C82">
        <v>1.04488</v>
      </c>
      <c r="D82">
        <v>1.0627800000000001</v>
      </c>
      <c r="E82">
        <v>1.0087299999999999</v>
      </c>
      <c r="F82">
        <v>0.94283899999999998</v>
      </c>
      <c r="G82">
        <v>0.75069600000000003</v>
      </c>
      <c r="H82">
        <v>0.715893</v>
      </c>
      <c r="I82">
        <v>0.730267</v>
      </c>
      <c r="J82">
        <v>0.73412500000000003</v>
      </c>
      <c r="K82">
        <v>0.61580699999999999</v>
      </c>
    </row>
    <row r="83" spans="1:11" x14ac:dyDescent="0.3">
      <c r="A83">
        <v>2006</v>
      </c>
      <c r="B83">
        <v>0.77529999999999999</v>
      </c>
      <c r="C83">
        <v>1.14438</v>
      </c>
      <c r="D83">
        <v>1.11443</v>
      </c>
      <c r="E83">
        <v>1.0612999999999999</v>
      </c>
      <c r="F83">
        <v>1.0417799999999999</v>
      </c>
      <c r="G83">
        <v>0.77917400000000003</v>
      </c>
      <c r="H83">
        <v>0.75963099999999995</v>
      </c>
      <c r="I83">
        <v>0.774424</v>
      </c>
      <c r="J83">
        <v>0.712036</v>
      </c>
      <c r="K83">
        <v>0.59578399999999998</v>
      </c>
    </row>
    <row r="84" spans="1:11" x14ac:dyDescent="0.3">
      <c r="A84">
        <v>2007</v>
      </c>
      <c r="B84">
        <v>0.92493400000000003</v>
      </c>
      <c r="C84">
        <v>1.32528</v>
      </c>
      <c r="D84">
        <v>1.2784899999999999</v>
      </c>
      <c r="E84">
        <v>1.2107600000000001</v>
      </c>
      <c r="F84">
        <v>1.1287799999999999</v>
      </c>
      <c r="G84">
        <v>0.99819199999999997</v>
      </c>
      <c r="H84">
        <v>0.97476700000000005</v>
      </c>
      <c r="I84">
        <v>1.0068900000000001</v>
      </c>
      <c r="J84">
        <v>1.04731</v>
      </c>
      <c r="K84">
        <v>0.97593300000000005</v>
      </c>
    </row>
    <row r="85" spans="1:11" x14ac:dyDescent="0.3">
      <c r="A85">
        <v>2008</v>
      </c>
      <c r="B85">
        <v>2.1536200000000001</v>
      </c>
      <c r="C85">
        <v>2.9961099999999998</v>
      </c>
      <c r="D85">
        <v>2.8003300000000002</v>
      </c>
      <c r="E85">
        <v>2.7238600000000002</v>
      </c>
      <c r="F85">
        <v>2.70078</v>
      </c>
      <c r="G85">
        <v>2.5215200000000002</v>
      </c>
      <c r="H85">
        <v>2.5630199999999999</v>
      </c>
      <c r="I85">
        <v>2.6484100000000002</v>
      </c>
      <c r="J85">
        <v>2.6141100000000002</v>
      </c>
      <c r="K85">
        <v>2.4313199999999999</v>
      </c>
    </row>
    <row r="86" spans="1:11" x14ac:dyDescent="0.3">
      <c r="A86">
        <v>2009</v>
      </c>
      <c r="B86">
        <v>1.8704499999999999</v>
      </c>
      <c r="C86">
        <v>2.5916299999999999</v>
      </c>
      <c r="D86">
        <v>2.2986599999999999</v>
      </c>
      <c r="E86">
        <v>2.1946500000000002</v>
      </c>
      <c r="F86">
        <v>2.1424599999999998</v>
      </c>
      <c r="G86">
        <v>1.89832</v>
      </c>
      <c r="H86">
        <v>1.90876</v>
      </c>
      <c r="I86">
        <v>1.9091899999999999</v>
      </c>
      <c r="J86">
        <v>1.8306500000000001</v>
      </c>
      <c r="K86">
        <v>1.57934</v>
      </c>
    </row>
    <row r="87" spans="1:11" x14ac:dyDescent="0.3">
      <c r="A87">
        <v>2010</v>
      </c>
      <c r="B87">
        <v>1.39072</v>
      </c>
      <c r="C87">
        <v>1.7568900000000001</v>
      </c>
      <c r="D87">
        <v>1.64859</v>
      </c>
      <c r="E87">
        <v>1.54766</v>
      </c>
      <c r="F87">
        <v>1.5093000000000001</v>
      </c>
      <c r="G87">
        <v>1.3749800000000001</v>
      </c>
      <c r="H87">
        <v>1.3084800000000001</v>
      </c>
      <c r="I87">
        <v>1.3126599999999999</v>
      </c>
      <c r="J87">
        <v>1.23936</v>
      </c>
      <c r="K87">
        <v>1.06446</v>
      </c>
    </row>
    <row r="88" spans="1:11" x14ac:dyDescent="0.3">
      <c r="A88">
        <v>2011</v>
      </c>
      <c r="B88">
        <v>1.7478100000000001</v>
      </c>
      <c r="C88">
        <v>2.2430699999999999</v>
      </c>
      <c r="D88">
        <v>2.1177100000000002</v>
      </c>
      <c r="E88">
        <v>2.0572400000000002</v>
      </c>
      <c r="F88">
        <v>1.9682500000000001</v>
      </c>
      <c r="G88">
        <v>1.8864700000000001</v>
      </c>
      <c r="H88">
        <v>1.78698</v>
      </c>
      <c r="I88">
        <v>1.6899</v>
      </c>
      <c r="J88">
        <v>1.5648599999999999</v>
      </c>
      <c r="K88">
        <v>1.40964</v>
      </c>
    </row>
    <row r="89" spans="1:11" x14ac:dyDescent="0.3">
      <c r="A89">
        <v>2012</v>
      </c>
      <c r="B89">
        <v>0.96614100000000003</v>
      </c>
      <c r="C89">
        <v>1.2021299999999999</v>
      </c>
      <c r="D89">
        <v>1.1390199999999999</v>
      </c>
      <c r="E89">
        <v>1.06687</v>
      </c>
      <c r="F89">
        <v>1.0435099999999999</v>
      </c>
      <c r="G89">
        <v>1.0184500000000001</v>
      </c>
      <c r="H89">
        <v>0.99892999999999998</v>
      </c>
      <c r="I89">
        <v>0.95542400000000005</v>
      </c>
      <c r="J89">
        <v>0.84559700000000004</v>
      </c>
      <c r="K89">
        <v>0.77635900000000002</v>
      </c>
    </row>
    <row r="90" spans="1:11" x14ac:dyDescent="0.3">
      <c r="A90">
        <v>2013</v>
      </c>
      <c r="B90">
        <v>0.82889100000000004</v>
      </c>
      <c r="C90">
        <v>0.97859799999999997</v>
      </c>
      <c r="D90">
        <v>0.97843500000000005</v>
      </c>
      <c r="E90">
        <v>0.92062200000000005</v>
      </c>
      <c r="F90">
        <v>0.88739199999999996</v>
      </c>
      <c r="G90">
        <v>0.86559699999999995</v>
      </c>
      <c r="H90">
        <v>0.82438699999999998</v>
      </c>
      <c r="I90">
        <v>0.81218699999999999</v>
      </c>
      <c r="J90">
        <v>0.73168500000000003</v>
      </c>
      <c r="K90">
        <v>0.66167200000000004</v>
      </c>
    </row>
    <row r="91" spans="1:11" x14ac:dyDescent="0.3">
      <c r="A91">
        <v>2014</v>
      </c>
      <c r="B91">
        <v>1.0218</v>
      </c>
      <c r="C91">
        <v>1.1832100000000001</v>
      </c>
      <c r="D91">
        <v>1.1379999999999999</v>
      </c>
      <c r="E91">
        <v>1.0547899999999999</v>
      </c>
      <c r="F91">
        <v>0.94540299999999999</v>
      </c>
      <c r="G91">
        <v>0.94142899999999996</v>
      </c>
      <c r="H91">
        <v>0.89231799999999994</v>
      </c>
      <c r="I91">
        <v>0.80302600000000002</v>
      </c>
      <c r="J91">
        <v>0.75747799999999998</v>
      </c>
      <c r="K91">
        <v>0.71545400000000003</v>
      </c>
    </row>
    <row r="92" spans="1:11" x14ac:dyDescent="0.3">
      <c r="A92">
        <v>2015</v>
      </c>
      <c r="B92">
        <v>0.93911900000000004</v>
      </c>
      <c r="C92">
        <v>1.1543699999999999</v>
      </c>
      <c r="D92">
        <v>1.1168100000000001</v>
      </c>
      <c r="E92">
        <v>1.09009</v>
      </c>
      <c r="F92">
        <v>1.0556099999999999</v>
      </c>
      <c r="G92">
        <v>1.0116099999999999</v>
      </c>
      <c r="H92">
        <v>0.963032</v>
      </c>
      <c r="I92">
        <v>0.999143</v>
      </c>
      <c r="J92">
        <v>0.94082200000000005</v>
      </c>
      <c r="K92">
        <v>0.98971299999999995</v>
      </c>
    </row>
    <row r="93" spans="1:11" x14ac:dyDescent="0.3">
      <c r="A93">
        <v>2016</v>
      </c>
      <c r="B93">
        <v>0.99522699999999997</v>
      </c>
      <c r="C93">
        <v>1.25658</v>
      </c>
      <c r="D93">
        <v>1.22157</v>
      </c>
      <c r="E93">
        <v>1.2325699999999999</v>
      </c>
      <c r="F93">
        <v>1.18635</v>
      </c>
      <c r="G93">
        <v>1.11283</v>
      </c>
      <c r="H93">
        <v>1.03874</v>
      </c>
      <c r="I93">
        <v>1.01379</v>
      </c>
      <c r="J93">
        <v>0.90791699999999997</v>
      </c>
      <c r="K93">
        <v>0.80583700000000003</v>
      </c>
    </row>
    <row r="94" spans="1:11" x14ac:dyDescent="0.3">
      <c r="A94">
        <v>2017</v>
      </c>
      <c r="B94">
        <v>0.75164399999999998</v>
      </c>
      <c r="C94">
        <v>0.88327</v>
      </c>
      <c r="D94">
        <v>0.83282199999999995</v>
      </c>
      <c r="E94">
        <v>0.81212200000000001</v>
      </c>
      <c r="F94">
        <v>0.77591299999999996</v>
      </c>
      <c r="G94">
        <v>0.71053599999999995</v>
      </c>
      <c r="H94">
        <v>0.61305399999999999</v>
      </c>
      <c r="I94">
        <v>0.54538799999999998</v>
      </c>
      <c r="J94">
        <v>0.485653</v>
      </c>
      <c r="K94">
        <v>0.41711900000000002</v>
      </c>
    </row>
    <row r="95" spans="1:11" x14ac:dyDescent="0.3">
      <c r="A95">
        <v>2018</v>
      </c>
      <c r="B95">
        <v>0.99019400000000002</v>
      </c>
      <c r="C95">
        <v>1.1677299999999999</v>
      </c>
      <c r="D95">
        <v>1.19601</v>
      </c>
      <c r="E95">
        <v>1.18876</v>
      </c>
      <c r="F95">
        <v>1.1838500000000001</v>
      </c>
      <c r="G95">
        <v>1.14425</v>
      </c>
      <c r="H95">
        <v>1.10646</v>
      </c>
      <c r="I95">
        <v>1.06724</v>
      </c>
      <c r="J95">
        <v>1.0172000000000001</v>
      </c>
      <c r="K95">
        <v>1.11931</v>
      </c>
    </row>
    <row r="96" spans="1:11" x14ac:dyDescent="0.3">
      <c r="A96">
        <v>2019</v>
      </c>
      <c r="B96">
        <v>0.93823599999999996</v>
      </c>
      <c r="C96">
        <v>1.1169500000000001</v>
      </c>
      <c r="D96">
        <v>1.10616</v>
      </c>
      <c r="E96">
        <v>1.07847</v>
      </c>
      <c r="F96">
        <v>1.0476000000000001</v>
      </c>
      <c r="G96">
        <v>1.02474</v>
      </c>
      <c r="H96">
        <v>0.96926400000000001</v>
      </c>
      <c r="I96">
        <v>0.85286200000000001</v>
      </c>
      <c r="J96">
        <v>0.81728699999999999</v>
      </c>
      <c r="K96">
        <v>0.81054199999999998</v>
      </c>
    </row>
    <row r="97" spans="1:11" x14ac:dyDescent="0.3">
      <c r="A97">
        <v>2020</v>
      </c>
      <c r="B97">
        <v>2.3564500000000002</v>
      </c>
      <c r="C97">
        <v>2.61958</v>
      </c>
      <c r="D97">
        <v>2.6270899999999999</v>
      </c>
      <c r="E97">
        <v>2.5299800000000001</v>
      </c>
      <c r="F97">
        <v>2.5103499999999999</v>
      </c>
      <c r="G97">
        <v>2.3752900000000001</v>
      </c>
      <c r="H97">
        <v>2.14086</v>
      </c>
      <c r="I97">
        <v>2.0130699999999999</v>
      </c>
      <c r="J97">
        <v>2.0615000000000001</v>
      </c>
      <c r="K97">
        <v>1.87904</v>
      </c>
    </row>
    <row r="98" spans="1:11" x14ac:dyDescent="0.3">
      <c r="A98">
        <v>2021</v>
      </c>
      <c r="B98">
        <v>1.6551400000000001</v>
      </c>
      <c r="C98">
        <v>1.65849</v>
      </c>
      <c r="D98">
        <v>1.55776</v>
      </c>
      <c r="E98">
        <v>1.4088099999999999</v>
      </c>
      <c r="F98">
        <v>1.35175</v>
      </c>
      <c r="G98">
        <v>1.24647</v>
      </c>
      <c r="H98">
        <v>1.1865000000000001</v>
      </c>
      <c r="I98">
        <v>1.0068900000000001</v>
      </c>
      <c r="J98">
        <v>0.90909600000000002</v>
      </c>
      <c r="K98">
        <v>0.84533100000000005</v>
      </c>
    </row>
    <row r="99" spans="1:11" x14ac:dyDescent="0.3">
      <c r="A99">
        <v>2022</v>
      </c>
      <c r="B99">
        <v>1.2971200000000001</v>
      </c>
      <c r="C99">
        <v>1.77881</v>
      </c>
      <c r="D99">
        <v>1.83917</v>
      </c>
      <c r="E99">
        <v>1.8306899999999999</v>
      </c>
      <c r="F99">
        <v>1.76762</v>
      </c>
      <c r="G99">
        <v>1.8403099999999999</v>
      </c>
      <c r="H99">
        <v>1.73963</v>
      </c>
      <c r="I99">
        <v>1.65707</v>
      </c>
      <c r="J99">
        <v>1.59805</v>
      </c>
      <c r="K99">
        <v>1.57511</v>
      </c>
    </row>
    <row r="100" spans="1:11" x14ac:dyDescent="0.3">
      <c r="A100">
        <v>2023</v>
      </c>
      <c r="B100">
        <v>1.1430899999999999</v>
      </c>
      <c r="C100">
        <v>1.4396199999999999</v>
      </c>
      <c r="D100">
        <v>1.3731599999999999</v>
      </c>
      <c r="E100">
        <v>1.3248500000000001</v>
      </c>
      <c r="F100">
        <v>1.28918</v>
      </c>
      <c r="G100">
        <v>1.1712</v>
      </c>
      <c r="H100">
        <v>1.1477900000000001</v>
      </c>
      <c r="I100">
        <v>1.06735</v>
      </c>
      <c r="J100">
        <v>0.954129</v>
      </c>
      <c r="K100">
        <v>0.83501499999999995</v>
      </c>
    </row>
    <row r="101" spans="1:11" x14ac:dyDescent="0.3">
      <c r="A101">
        <v>2024</v>
      </c>
      <c r="B101">
        <v>1.4393199999999999</v>
      </c>
      <c r="C101">
        <v>1.57054</v>
      </c>
      <c r="D101">
        <v>1.42303</v>
      </c>
      <c r="E101">
        <v>1.3366400000000001</v>
      </c>
      <c r="F101">
        <v>1.2520199999999999</v>
      </c>
      <c r="G101">
        <v>1.1565399999999999</v>
      </c>
      <c r="H101">
        <v>1.01359</v>
      </c>
      <c r="I101">
        <v>0.88927400000000001</v>
      </c>
      <c r="J101">
        <v>0.79257999999999995</v>
      </c>
      <c r="K101">
        <v>0.84998399999999996</v>
      </c>
    </row>
    <row r="102" spans="1:11" x14ac:dyDescent="0.3">
      <c r="A102">
        <v>2025</v>
      </c>
      <c r="B102">
        <v>1.6996599999999999</v>
      </c>
      <c r="C102">
        <v>1.6025700000000001</v>
      </c>
      <c r="D102">
        <v>1.52854</v>
      </c>
      <c r="E102">
        <v>1.4981500000000001</v>
      </c>
      <c r="F102">
        <v>1.46977</v>
      </c>
      <c r="G102">
        <v>1.45584</v>
      </c>
      <c r="H102">
        <v>1.36137</v>
      </c>
      <c r="I102">
        <v>1.27294</v>
      </c>
      <c r="J102">
        <v>1.1249199999999999</v>
      </c>
      <c r="K102">
        <v>1.23546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AF311-370C-1F4A-B647-00BAEACB2303}">
  <dimension ref="A1:K102"/>
  <sheetViews>
    <sheetView topLeftCell="A69" zoomScale="85" zoomScaleNormal="85" zoomScaleSheetLayoutView="100" workbookViewId="0">
      <selection activeCell="B3" sqref="B3"/>
    </sheetView>
  </sheetViews>
  <sheetFormatPr defaultRowHeight="14.4" x14ac:dyDescent="0.3"/>
  <sheetData>
    <row r="1" spans="1:11" x14ac:dyDescent="0.3">
      <c r="A1" t="s">
        <v>3</v>
      </c>
    </row>
    <row r="3" spans="1:11" x14ac:dyDescent="0.3">
      <c r="A3" t="str">
        <f t="array" ref="A3:A102">'SDs by Year for Deciles'!A3:A102</f>
        <v>Year</v>
      </c>
      <c r="B3" t="str">
        <f t="array" ref="B3:K3">'SDs by Year for Deciles'!B3:K3</f>
        <v>Lo 10</v>
      </c>
      <c r="C3" t="str">
        <v>Decile 2</v>
      </c>
      <c r="D3" t="str">
        <v>Decile 3</v>
      </c>
      <c r="E3" t="str">
        <v>Decile 4</v>
      </c>
      <c r="F3" t="str">
        <v>Decile 5</v>
      </c>
      <c r="G3" t="str">
        <v>Decile 6</v>
      </c>
      <c r="H3" t="str">
        <v>Decile 7</v>
      </c>
      <c r="I3" t="str">
        <v>Decile 8</v>
      </c>
      <c r="J3" t="str">
        <v>Decile 9</v>
      </c>
      <c r="K3" t="str">
        <v>Hi 10</v>
      </c>
    </row>
    <row r="4" spans="1:11" x14ac:dyDescent="0.3">
      <c r="A4">
        <v>1927</v>
      </c>
      <c r="B4">
        <f>LN('SDs by Year for Deciles'!B4)</f>
        <v>8.5581188090205845E-2</v>
      </c>
      <c r="C4">
        <f>LN('SDs by Year for Deciles'!C4)</f>
        <v>-0.22273113636894554</v>
      </c>
      <c r="D4">
        <f>LN('SDs by Year for Deciles'!D4)</f>
        <v>-0.23829526091496928</v>
      </c>
      <c r="E4">
        <f>LN('SDs by Year for Deciles'!E4)</f>
        <v>-0.41171962689605546</v>
      </c>
      <c r="F4">
        <f>LN('SDs by Year for Deciles'!F4)</f>
        <v>-0.55567481378550032</v>
      </c>
      <c r="G4">
        <f>LN('SDs by Year for Deciles'!G4)</f>
        <v>-0.45466743220383071</v>
      </c>
      <c r="H4">
        <f>LN('SDs by Year for Deciles'!H4)</f>
        <v>-0.52724468179428585</v>
      </c>
      <c r="I4">
        <f>LN('SDs by Year for Deciles'!I4)</f>
        <v>-0.56057624903054715</v>
      </c>
      <c r="J4">
        <f>LN('SDs by Year for Deciles'!J4)</f>
        <v>-0.56299474017019069</v>
      </c>
      <c r="K4">
        <f>LN('SDs by Year for Deciles'!K4)</f>
        <v>-0.65645466059549773</v>
      </c>
    </row>
    <row r="5" spans="1:11" x14ac:dyDescent="0.3">
      <c r="A5">
        <v>1928</v>
      </c>
      <c r="B5">
        <f>LN('SDs by Year for Deciles'!B5)</f>
        <v>0.38622792092059149</v>
      </c>
      <c r="C5">
        <f>LN('SDs by Year for Deciles'!C5)</f>
        <v>0.19780933293885997</v>
      </c>
      <c r="D5">
        <f>LN('SDs by Year for Deciles'!D5)</f>
        <v>2.2583072000257977E-2</v>
      </c>
      <c r="E5">
        <f>LN('SDs by Year for Deciles'!E5)</f>
        <v>-0.11655853566259709</v>
      </c>
      <c r="F5">
        <f>LN('SDs by Year for Deciles'!F5)</f>
        <v>-4.0581398465807245E-2</v>
      </c>
      <c r="G5">
        <f>LN('SDs by Year for Deciles'!G5)</f>
        <v>-2.5121528152129979E-3</v>
      </c>
      <c r="H5">
        <f>LN('SDs by Year for Deciles'!H5)</f>
        <v>-0.10461745845988318</v>
      </c>
      <c r="I5">
        <f>LN('SDs by Year for Deciles'!I5)</f>
        <v>-7.0034127691799244E-2</v>
      </c>
      <c r="J5">
        <f>LN('SDs by Year for Deciles'!J5)</f>
        <v>-0.22899061210613697</v>
      </c>
      <c r="K5">
        <f>LN('SDs by Year for Deciles'!K5)</f>
        <v>-0.23277983148645565</v>
      </c>
    </row>
    <row r="6" spans="1:11" x14ac:dyDescent="0.3">
      <c r="A6">
        <v>1929</v>
      </c>
      <c r="B6">
        <f>LN('SDs by Year for Deciles'!B6)</f>
        <v>0.60881947203587838</v>
      </c>
      <c r="C6">
        <f>LN('SDs by Year for Deciles'!C6)</f>
        <v>0.4957992917893474</v>
      </c>
      <c r="D6">
        <f>LN('SDs by Year for Deciles'!D6)</f>
        <v>0.53187453295369802</v>
      </c>
      <c r="E6">
        <f>LN('SDs by Year for Deciles'!E6)</f>
        <v>0.48433790092888779</v>
      </c>
      <c r="F6">
        <f>LN('SDs by Year for Deciles'!F6)</f>
        <v>0.55711552201681824</v>
      </c>
      <c r="G6">
        <f>LN('SDs by Year for Deciles'!G6)</f>
        <v>0.53223871826930713</v>
      </c>
      <c r="H6">
        <f>LN('SDs by Year for Deciles'!H6)</f>
        <v>0.60310211567989358</v>
      </c>
      <c r="I6">
        <f>LN('SDs by Year for Deciles'!I6)</f>
        <v>0.63292466538779668</v>
      </c>
      <c r="J6">
        <f>LN('SDs by Year for Deciles'!J6)</f>
        <v>0.62470772733742419</v>
      </c>
      <c r="K6">
        <f>LN('SDs by Year for Deciles'!K6)</f>
        <v>0.62714091614733936</v>
      </c>
    </row>
    <row r="7" spans="1:11" x14ac:dyDescent="0.3">
      <c r="A7">
        <v>1930</v>
      </c>
      <c r="B7">
        <f>LN('SDs by Year for Deciles'!B7)</f>
        <v>0.6644441620310394</v>
      </c>
      <c r="C7">
        <f>LN('SDs by Year for Deciles'!C7)</f>
        <v>0.57123375156105072</v>
      </c>
      <c r="D7">
        <f>LN('SDs by Year for Deciles'!D7)</f>
        <v>0.4371252608360332</v>
      </c>
      <c r="E7">
        <f>LN('SDs by Year for Deciles'!E7)</f>
        <v>0.2689349379270729</v>
      </c>
      <c r="F7">
        <f>LN('SDs by Year for Deciles'!F7)</f>
        <v>0.32026300249045142</v>
      </c>
      <c r="G7">
        <f>LN('SDs by Year for Deciles'!G7)</f>
        <v>0.24749269029012594</v>
      </c>
      <c r="H7">
        <f>LN('SDs by Year for Deciles'!H7)</f>
        <v>0.2824911227546994</v>
      </c>
      <c r="I7">
        <f>LN('SDs by Year for Deciles'!I7)</f>
        <v>0.23134185321108813</v>
      </c>
      <c r="J7">
        <f>LN('SDs by Year for Deciles'!J7)</f>
        <v>0.33361816763830648</v>
      </c>
      <c r="K7">
        <f>LN('SDs by Year for Deciles'!K7)</f>
        <v>0.35935834040791387</v>
      </c>
    </row>
    <row r="8" spans="1:11" x14ac:dyDescent="0.3">
      <c r="A8">
        <v>1931</v>
      </c>
      <c r="B8">
        <f>LN('SDs by Year for Deciles'!B8)</f>
        <v>0.78482805512350173</v>
      </c>
      <c r="C8">
        <f>LN('SDs by Year for Deciles'!C8)</f>
        <v>0.80522061408225032</v>
      </c>
      <c r="D8">
        <f>LN('SDs by Year for Deciles'!D8)</f>
        <v>0.6870385608755365</v>
      </c>
      <c r="E8">
        <f>LN('SDs by Year for Deciles'!E8)</f>
        <v>0.50502080837761887</v>
      </c>
      <c r="F8">
        <f>LN('SDs by Year for Deciles'!F8)</f>
        <v>0.6003244046000803</v>
      </c>
      <c r="G8">
        <f>LN('SDs by Year for Deciles'!G8)</f>
        <v>0.66544704991766668</v>
      </c>
      <c r="H8">
        <f>LN('SDs by Year for Deciles'!H8)</f>
        <v>0.61091708229097341</v>
      </c>
      <c r="I8">
        <f>LN('SDs by Year for Deciles'!I8)</f>
        <v>0.66812676424780404</v>
      </c>
      <c r="J8">
        <f>LN('SDs by Year for Deciles'!J8)</f>
        <v>0.76224871280976891</v>
      </c>
      <c r="K8">
        <f>LN('SDs by Year for Deciles'!K8)</f>
        <v>0.67868815078232558</v>
      </c>
    </row>
    <row r="9" spans="1:11" x14ac:dyDescent="0.3">
      <c r="A9">
        <v>1932</v>
      </c>
      <c r="B9">
        <f>LN('SDs by Year for Deciles'!B9)</f>
        <v>1.1145118841991208</v>
      </c>
      <c r="C9">
        <f>LN('SDs by Year for Deciles'!C9)</f>
        <v>1.059070724047501</v>
      </c>
      <c r="D9">
        <f>LN('SDs by Year for Deciles'!D9)</f>
        <v>0.98496568616412272</v>
      </c>
      <c r="E9">
        <f>LN('SDs by Year for Deciles'!E9)</f>
        <v>0.94481987798812872</v>
      </c>
      <c r="F9">
        <f>LN('SDs by Year for Deciles'!F9)</f>
        <v>0.91497787044861234</v>
      </c>
      <c r="G9">
        <f>LN('SDs by Year for Deciles'!G9)</f>
        <v>1.0085343965414402</v>
      </c>
      <c r="H9">
        <f>LN('SDs by Year for Deciles'!H9)</f>
        <v>0.92868164643499396</v>
      </c>
      <c r="I9">
        <f>LN('SDs by Year for Deciles'!I9)</f>
        <v>1.0380409987628365</v>
      </c>
      <c r="J9">
        <f>LN('SDs by Year for Deciles'!J9)</f>
        <v>1.0642830593444828</v>
      </c>
      <c r="K9">
        <f>LN('SDs by Year for Deciles'!K9)</f>
        <v>1.0332698889511609</v>
      </c>
    </row>
    <row r="10" spans="1:11" x14ac:dyDescent="0.3">
      <c r="A10">
        <v>1933</v>
      </c>
      <c r="B10">
        <f>LN('SDs by Year for Deciles'!B10)</f>
        <v>1.2231958519335453</v>
      </c>
      <c r="C10">
        <f>LN('SDs by Year for Deciles'!C10)</f>
        <v>1.2376464300284662</v>
      </c>
      <c r="D10">
        <f>LN('SDs by Year for Deciles'!D10)</f>
        <v>1.1992446441726439</v>
      </c>
      <c r="E10">
        <f>LN('SDs by Year for Deciles'!E10)</f>
        <v>1.1832168827891549</v>
      </c>
      <c r="F10">
        <f>LN('SDs by Year for Deciles'!F10)</f>
        <v>1.1302853591229756</v>
      </c>
      <c r="G10">
        <f>LN('SDs by Year for Deciles'!G10)</f>
        <v>1.0990521918964951</v>
      </c>
      <c r="H10">
        <f>LN('SDs by Year for Deciles'!H10)</f>
        <v>1.1040706977447425</v>
      </c>
      <c r="I10">
        <f>LN('SDs by Year for Deciles'!I10)</f>
        <v>1.0816221027484196</v>
      </c>
      <c r="J10">
        <f>LN('SDs by Year for Deciles'!J10)</f>
        <v>1.0469364649852058</v>
      </c>
      <c r="K10">
        <f>LN('SDs by Year for Deciles'!K10)</f>
        <v>0.88375514339754058</v>
      </c>
    </row>
    <row r="11" spans="1:11" x14ac:dyDescent="0.3">
      <c r="A11">
        <v>1934</v>
      </c>
      <c r="B11">
        <f>LN('SDs by Year for Deciles'!B11)</f>
        <v>0.70390411671264597</v>
      </c>
      <c r="C11">
        <f>LN('SDs by Year for Deciles'!C11)</f>
        <v>0.70682816761580947</v>
      </c>
      <c r="D11">
        <f>LN('SDs by Year for Deciles'!D11)</f>
        <v>0.61397950659938505</v>
      </c>
      <c r="E11">
        <f>LN('SDs by Year for Deciles'!E11)</f>
        <v>0.62359879766224013</v>
      </c>
      <c r="F11">
        <f>LN('SDs by Year for Deciles'!F11)</f>
        <v>0.57227813807895689</v>
      </c>
      <c r="G11">
        <f>LN('SDs by Year for Deciles'!G11)</f>
        <v>0.53237378555357373</v>
      </c>
      <c r="H11">
        <f>LN('SDs by Year for Deciles'!H11)</f>
        <v>0.53012224070758074</v>
      </c>
      <c r="I11">
        <f>LN('SDs by Year for Deciles'!I11)</f>
        <v>0.46294754352152684</v>
      </c>
      <c r="J11">
        <f>LN('SDs by Year for Deciles'!J11)</f>
        <v>0.36442781263454443</v>
      </c>
      <c r="K11">
        <f>LN('SDs by Year for Deciles'!K11)</f>
        <v>0.19482637793242907</v>
      </c>
    </row>
    <row r="12" spans="1:11" x14ac:dyDescent="0.3">
      <c r="A12">
        <v>1935</v>
      </c>
      <c r="B12">
        <f>LN('SDs by Year for Deciles'!B12)</f>
        <v>0.61038494498699514</v>
      </c>
      <c r="C12">
        <f>LN('SDs by Year for Deciles'!C12)</f>
        <v>0.49144706653938713</v>
      </c>
      <c r="D12">
        <f>LN('SDs by Year for Deciles'!D12)</f>
        <v>0.36399707161439271</v>
      </c>
      <c r="E12">
        <f>LN('SDs by Year for Deciles'!E12)</f>
        <v>0.34613256786137242</v>
      </c>
      <c r="F12">
        <f>LN('SDs by Year for Deciles'!F12)</f>
        <v>0.20659944925347809</v>
      </c>
      <c r="G12">
        <f>LN('SDs by Year for Deciles'!G12)</f>
        <v>0.24811710004808318</v>
      </c>
      <c r="H12">
        <f>LN('SDs by Year for Deciles'!H12)</f>
        <v>0.13695801504242439</v>
      </c>
      <c r="I12">
        <f>LN('SDs by Year for Deciles'!I12)</f>
        <v>5.3085687091589298E-2</v>
      </c>
      <c r="J12">
        <f>LN('SDs by Year for Deciles'!J12)</f>
        <v>0.10037912912784536</v>
      </c>
      <c r="K12">
        <f>LN('SDs by Year for Deciles'!K12)</f>
        <v>-0.14372719360301692</v>
      </c>
    </row>
    <row r="13" spans="1:11" x14ac:dyDescent="0.3">
      <c r="A13">
        <v>1936</v>
      </c>
      <c r="B13">
        <f>LN('SDs by Year for Deciles'!B13)</f>
        <v>0.46494711660624294</v>
      </c>
      <c r="C13">
        <f>LN('SDs by Year for Deciles'!C13)</f>
        <v>0.30957809530100044</v>
      </c>
      <c r="D13">
        <f>LN('SDs by Year for Deciles'!D13)</f>
        <v>0.24901400656086586</v>
      </c>
      <c r="E13">
        <f>LN('SDs by Year for Deciles'!E13)</f>
        <v>0.2879045477023271</v>
      </c>
      <c r="F13">
        <f>LN('SDs by Year for Deciles'!F13)</f>
        <v>0.14166447922970632</v>
      </c>
      <c r="G13">
        <f>LN('SDs by Year for Deciles'!G13)</f>
        <v>0.13313131260318295</v>
      </c>
      <c r="H13">
        <f>LN('SDs by Year for Deciles'!H13)</f>
        <v>5.3408056700616088E-2</v>
      </c>
      <c r="I13">
        <f>LN('SDs by Year for Deciles'!I13)</f>
        <v>-7.2367487675950609E-2</v>
      </c>
      <c r="J13">
        <f>LN('SDs by Year for Deciles'!J13)</f>
        <v>-2.5209095944939787E-2</v>
      </c>
      <c r="K13">
        <f>LN('SDs by Year for Deciles'!K13)</f>
        <v>-0.187026206322704</v>
      </c>
    </row>
    <row r="14" spans="1:11" x14ac:dyDescent="0.3">
      <c r="A14">
        <v>1937</v>
      </c>
      <c r="B14">
        <f>LN('SDs by Year for Deciles'!B14)</f>
        <v>1.0276675134559128</v>
      </c>
      <c r="C14">
        <f>LN('SDs by Year for Deciles'!C14)</f>
        <v>0.96021191893208324</v>
      </c>
      <c r="D14">
        <f>LN('SDs by Year for Deciles'!D14)</f>
        <v>0.84238150919921617</v>
      </c>
      <c r="E14">
        <f>LN('SDs by Year for Deciles'!E14)</f>
        <v>0.75491937895254635</v>
      </c>
      <c r="F14">
        <f>LN('SDs by Year for Deciles'!F14)</f>
        <v>0.75198668058237872</v>
      </c>
      <c r="G14">
        <f>LN('SDs by Year for Deciles'!G14)</f>
        <v>0.68292511278964518</v>
      </c>
      <c r="H14">
        <f>LN('SDs by Year for Deciles'!H14)</f>
        <v>0.68845619507182176</v>
      </c>
      <c r="I14">
        <f>LN('SDs by Year for Deciles'!I14)</f>
        <v>0.5801856278515215</v>
      </c>
      <c r="J14">
        <f>LN('SDs by Year for Deciles'!J14)</f>
        <v>0.60876507128731072</v>
      </c>
      <c r="K14">
        <f>LN('SDs by Year for Deciles'!K14)</f>
        <v>0.39535416435743537</v>
      </c>
    </row>
    <row r="15" spans="1:11" x14ac:dyDescent="0.3">
      <c r="A15">
        <v>1938</v>
      </c>
      <c r="B15">
        <f>LN('SDs by Year for Deciles'!B15)</f>
        <v>0.69196648381178283</v>
      </c>
      <c r="C15">
        <f>LN('SDs by Year for Deciles'!C15)</f>
        <v>0.79253087052646387</v>
      </c>
      <c r="D15">
        <f>LN('SDs by Year for Deciles'!D15)</f>
        <v>0.74537428880758594</v>
      </c>
      <c r="E15">
        <f>LN('SDs by Year for Deciles'!E15)</f>
        <v>0.65373564920202831</v>
      </c>
      <c r="F15">
        <f>LN('SDs by Year for Deciles'!F15)</f>
        <v>0.72397217113786061</v>
      </c>
      <c r="G15">
        <f>LN('SDs by Year for Deciles'!G15)</f>
        <v>0.70546105268122683</v>
      </c>
      <c r="H15">
        <f>LN('SDs by Year for Deciles'!H15)</f>
        <v>0.6943614430447721</v>
      </c>
      <c r="I15">
        <f>LN('SDs by Year for Deciles'!I15)</f>
        <v>0.5473234023261615</v>
      </c>
      <c r="J15">
        <f>LN('SDs by Year for Deciles'!J15)</f>
        <v>0.58610747807894148</v>
      </c>
      <c r="K15">
        <f>LN('SDs by Year for Deciles'!K15)</f>
        <v>0.46760700964588658</v>
      </c>
    </row>
    <row r="16" spans="1:11" x14ac:dyDescent="0.3">
      <c r="A16">
        <v>1939</v>
      </c>
      <c r="B16">
        <f>LN('SDs by Year for Deciles'!B16)</f>
        <v>1.1368485430418493</v>
      </c>
      <c r="C16">
        <f>LN('SDs by Year for Deciles'!C16)</f>
        <v>0.93684993563926411</v>
      </c>
      <c r="D16">
        <f>LN('SDs by Year for Deciles'!D16)</f>
        <v>0.7325553761372986</v>
      </c>
      <c r="E16">
        <f>LN('SDs by Year for Deciles'!E16)</f>
        <v>0.74534581500348374</v>
      </c>
      <c r="F16">
        <f>LN('SDs by Year for Deciles'!F16)</f>
        <v>0.70667526203963704</v>
      </c>
      <c r="G16">
        <f>LN('SDs by Year for Deciles'!G16)</f>
        <v>0.55957007260477853</v>
      </c>
      <c r="H16">
        <f>LN('SDs by Year for Deciles'!H16)</f>
        <v>0.61730771022807529</v>
      </c>
      <c r="I16">
        <f>LN('SDs by Year for Deciles'!I16)</f>
        <v>0.40905200084347465</v>
      </c>
      <c r="J16">
        <f>LN('SDs by Year for Deciles'!J16)</f>
        <v>0.41269888117004316</v>
      </c>
      <c r="K16">
        <f>LN('SDs by Year for Deciles'!K16)</f>
        <v>0.14030092753134216</v>
      </c>
    </row>
    <row r="17" spans="1:11" x14ac:dyDescent="0.3">
      <c r="A17">
        <v>1940</v>
      </c>
      <c r="B17">
        <f>LN('SDs by Year for Deciles'!B17)</f>
        <v>0.68673164495048022</v>
      </c>
      <c r="C17">
        <f>LN('SDs by Year for Deciles'!C17)</f>
        <v>0.64681524247545641</v>
      </c>
      <c r="D17">
        <f>LN('SDs by Year for Deciles'!D17)</f>
        <v>0.45480750072377757</v>
      </c>
      <c r="E17">
        <f>LN('SDs by Year for Deciles'!E17)</f>
        <v>0.53178052811237941</v>
      </c>
      <c r="F17">
        <f>LN('SDs by Year for Deciles'!F17)</f>
        <v>0.37448342738832319</v>
      </c>
      <c r="G17">
        <f>LN('SDs by Year for Deciles'!G17)</f>
        <v>0.26964538496562962</v>
      </c>
      <c r="H17">
        <f>LN('SDs by Year for Deciles'!H17)</f>
        <v>0.37385747511222134</v>
      </c>
      <c r="I17">
        <f>LN('SDs by Year for Deciles'!I17)</f>
        <v>0.22617096407221585</v>
      </c>
      <c r="J17">
        <f>LN('SDs by Year for Deciles'!J17)</f>
        <v>0.17480168664353971</v>
      </c>
      <c r="K17">
        <f>LN('SDs by Year for Deciles'!K17)</f>
        <v>5.4440835678246299E-2</v>
      </c>
    </row>
    <row r="18" spans="1:11" x14ac:dyDescent="0.3">
      <c r="A18">
        <v>1941</v>
      </c>
      <c r="B18">
        <f>LN('SDs by Year for Deciles'!B18)</f>
        <v>0.42230911463305615</v>
      </c>
      <c r="C18">
        <f>LN('SDs by Year for Deciles'!C18)</f>
        <v>0.29635683764161586</v>
      </c>
      <c r="D18">
        <f>LN('SDs by Year for Deciles'!D18)</f>
        <v>7.0486422251192213E-2</v>
      </c>
      <c r="E18">
        <f>LN('SDs by Year for Deciles'!E18)</f>
        <v>0.17732576524888419</v>
      </c>
      <c r="F18">
        <f>LN('SDs by Year for Deciles'!F18)</f>
        <v>-4.1744294708346487E-2</v>
      </c>
      <c r="G18">
        <f>LN('SDs by Year for Deciles'!G18)</f>
        <v>-6.4250562601610273E-2</v>
      </c>
      <c r="H18">
        <f>LN('SDs by Year for Deciles'!H18)</f>
        <v>2.9267497680568143E-2</v>
      </c>
      <c r="I18">
        <f>LN('SDs by Year for Deciles'!I18)</f>
        <v>-0.1183928465532592</v>
      </c>
      <c r="J18">
        <f>LN('SDs by Year for Deciles'!J18)</f>
        <v>-0.16293430987390659</v>
      </c>
      <c r="K18">
        <f>LN('SDs by Year for Deciles'!K18)</f>
        <v>-0.38210704416841784</v>
      </c>
    </row>
    <row r="19" spans="1:11" x14ac:dyDescent="0.3">
      <c r="A19">
        <v>1942</v>
      </c>
      <c r="B19">
        <f>LN('SDs by Year for Deciles'!B19)</f>
        <v>0.24807808585861763</v>
      </c>
      <c r="C19">
        <f>LN('SDs by Year for Deciles'!C19)</f>
        <v>-0.10150130533210587</v>
      </c>
      <c r="D19">
        <f>LN('SDs by Year for Deciles'!D19)</f>
        <v>-0.42446904444290218</v>
      </c>
      <c r="E19">
        <f>LN('SDs by Year for Deciles'!E19)</f>
        <v>-0.25917495572371307</v>
      </c>
      <c r="F19">
        <f>LN('SDs by Year for Deciles'!F19)</f>
        <v>-0.43561147793373839</v>
      </c>
      <c r="G19">
        <f>LN('SDs by Year for Deciles'!G19)</f>
        <v>-0.48199200349919635</v>
      </c>
      <c r="H19">
        <f>LN('SDs by Year for Deciles'!H19)</f>
        <v>-0.40272337010914666</v>
      </c>
      <c r="I19">
        <f>LN('SDs by Year for Deciles'!I19)</f>
        <v>-0.44154368295249197</v>
      </c>
      <c r="J19">
        <f>LN('SDs by Year for Deciles'!J19)</f>
        <v>-0.40027012542796525</v>
      </c>
      <c r="K19">
        <f>LN('SDs by Year for Deciles'!K19)</f>
        <v>-0.37869708968753918</v>
      </c>
    </row>
    <row r="20" spans="1:11" x14ac:dyDescent="0.3">
      <c r="A20">
        <v>1943</v>
      </c>
      <c r="B20">
        <f>LN('SDs by Year for Deciles'!B20)</f>
        <v>0.59704368616479575</v>
      </c>
      <c r="C20">
        <f>LN('SDs by Year for Deciles'!C20)</f>
        <v>0.30932124755526214</v>
      </c>
      <c r="D20">
        <f>LN('SDs by Year for Deciles'!D20)</f>
        <v>0.14837690074101711</v>
      </c>
      <c r="E20">
        <f>LN('SDs by Year for Deciles'!E20)</f>
        <v>0.14471487372638192</v>
      </c>
      <c r="F20">
        <f>LN('SDs by Year for Deciles'!F20)</f>
        <v>-2.2288554654749489E-2</v>
      </c>
      <c r="G20">
        <f>LN('SDs by Year for Deciles'!G20)</f>
        <v>-6.1288342029972957E-2</v>
      </c>
      <c r="H20">
        <f>LN('SDs by Year for Deciles'!H20)</f>
        <v>-2.2407176190832958E-2</v>
      </c>
      <c r="I20">
        <f>LN('SDs by Year for Deciles'!I20)</f>
        <v>-0.18422937552332089</v>
      </c>
      <c r="J20">
        <f>LN('SDs by Year for Deciles'!J20)</f>
        <v>-0.15898635287089688</v>
      </c>
      <c r="K20">
        <f>LN('SDs by Year for Deciles'!K20)</f>
        <v>-0.549119566503672</v>
      </c>
    </row>
    <row r="21" spans="1:11" x14ac:dyDescent="0.3">
      <c r="A21">
        <v>1944</v>
      </c>
      <c r="B21">
        <f>LN('SDs by Year for Deciles'!B21)</f>
        <v>1.8291682472166292E-2</v>
      </c>
      <c r="C21">
        <f>LN('SDs by Year for Deciles'!C21)</f>
        <v>-0.2163044910914565</v>
      </c>
      <c r="D21">
        <f>LN('SDs by Year for Deciles'!D21)</f>
        <v>-0.2535808518223831</v>
      </c>
      <c r="E21">
        <f>LN('SDs by Year for Deciles'!E21)</f>
        <v>-0.36318034395724308</v>
      </c>
      <c r="F21">
        <f>LN('SDs by Year for Deciles'!F21)</f>
        <v>-0.40153185350559262</v>
      </c>
      <c r="G21">
        <f>LN('SDs by Year for Deciles'!G21)</f>
        <v>-0.39523313375193464</v>
      </c>
      <c r="H21">
        <f>LN('SDs by Year for Deciles'!H21)</f>
        <v>-0.37260109448899159</v>
      </c>
      <c r="I21">
        <f>LN('SDs by Year for Deciles'!I21)</f>
        <v>-0.52312427643642201</v>
      </c>
      <c r="J21">
        <f>LN('SDs by Year for Deciles'!J21)</f>
        <v>-0.60897516407525509</v>
      </c>
      <c r="K21">
        <f>LN('SDs by Year for Deciles'!K21)</f>
        <v>-0.90500465985718748</v>
      </c>
    </row>
    <row r="22" spans="1:11" x14ac:dyDescent="0.3">
      <c r="A22">
        <v>1945</v>
      </c>
      <c r="B22">
        <f>LN('SDs by Year for Deciles'!B22)</f>
        <v>0.17733414028290767</v>
      </c>
      <c r="C22">
        <f>LN('SDs by Year for Deciles'!C22)</f>
        <v>-7.0152114578230063E-2</v>
      </c>
      <c r="D22">
        <f>LN('SDs by Year for Deciles'!D22)</f>
        <v>-3.8628568505532854E-2</v>
      </c>
      <c r="E22">
        <f>LN('SDs by Year for Deciles'!E22)</f>
        <v>-9.9520932593857123E-2</v>
      </c>
      <c r="F22">
        <f>LN('SDs by Year for Deciles'!F22)</f>
        <v>-0.12317152753728026</v>
      </c>
      <c r="G22">
        <f>LN('SDs by Year for Deciles'!G22)</f>
        <v>-9.9322116872180496E-2</v>
      </c>
      <c r="H22">
        <f>LN('SDs by Year for Deciles'!H22)</f>
        <v>-0.11523017198749351</v>
      </c>
      <c r="I22">
        <f>LN('SDs by Year for Deciles'!I22)</f>
        <v>-0.18531322738111972</v>
      </c>
      <c r="J22">
        <f>LN('SDs by Year for Deciles'!J22)</f>
        <v>-0.24830239757460953</v>
      </c>
      <c r="K22">
        <f>LN('SDs by Year for Deciles'!K22)</f>
        <v>-0.5553279936779606</v>
      </c>
    </row>
    <row r="23" spans="1:11" x14ac:dyDescent="0.3">
      <c r="A23">
        <v>1946</v>
      </c>
      <c r="B23">
        <f>LN('SDs by Year for Deciles'!B23)</f>
        <v>0.53853806233252643</v>
      </c>
      <c r="C23">
        <f>LN('SDs by Year for Deciles'!C23)</f>
        <v>0.49301189729465528</v>
      </c>
      <c r="D23">
        <f>LN('SDs by Year for Deciles'!D23)</f>
        <v>0.45848757328448797</v>
      </c>
      <c r="E23">
        <f>LN('SDs by Year for Deciles'!E23)</f>
        <v>0.3595886948406376</v>
      </c>
      <c r="F23">
        <f>LN('SDs by Year for Deciles'!F23)</f>
        <v>0.43105487910716078</v>
      </c>
      <c r="G23">
        <f>LN('SDs by Year for Deciles'!G23)</f>
        <v>0.4234294454771092</v>
      </c>
      <c r="H23">
        <f>LN('SDs by Year for Deciles'!H23)</f>
        <v>0.41364489557635137</v>
      </c>
      <c r="I23">
        <f>LN('SDs by Year for Deciles'!I23)</f>
        <v>0.32732337022387364</v>
      </c>
      <c r="J23">
        <f>LN('SDs by Year for Deciles'!J23)</f>
        <v>0.31209171818153791</v>
      </c>
      <c r="K23">
        <f>LN('SDs by Year for Deciles'!K23)</f>
        <v>8.4828162176245184E-2</v>
      </c>
    </row>
    <row r="24" spans="1:11" x14ac:dyDescent="0.3">
      <c r="A24">
        <v>1947</v>
      </c>
      <c r="B24">
        <f>LN('SDs by Year for Deciles'!B24)</f>
        <v>0.10713094751804886</v>
      </c>
      <c r="C24">
        <f>LN('SDs by Year for Deciles'!C24)</f>
        <v>5.2677835468045303E-2</v>
      </c>
      <c r="D24">
        <f>LN('SDs by Year for Deciles'!D24)</f>
        <v>-2.1783709280506552E-3</v>
      </c>
      <c r="E24">
        <f>LN('SDs by Year for Deciles'!E24)</f>
        <v>-7.1043901984146646E-2</v>
      </c>
      <c r="F24">
        <f>LN('SDs by Year for Deciles'!F24)</f>
        <v>-6.1078912490819003E-2</v>
      </c>
      <c r="G24">
        <f>LN('SDs by Year for Deciles'!G24)</f>
        <v>-2.7052645278006462E-2</v>
      </c>
      <c r="H24">
        <f>LN('SDs by Year for Deciles'!H24)</f>
        <v>-5.5899676969936855E-2</v>
      </c>
      <c r="I24">
        <f>LN('SDs by Year for Deciles'!I24)</f>
        <v>-0.18074519989759288</v>
      </c>
      <c r="J24">
        <f>LN('SDs by Year for Deciles'!J24)</f>
        <v>-0.11704855545301734</v>
      </c>
      <c r="K24">
        <f>LN('SDs by Year for Deciles'!K24)</f>
        <v>-0.40345512946929935</v>
      </c>
    </row>
    <row r="25" spans="1:11" x14ac:dyDescent="0.3">
      <c r="A25">
        <v>1948</v>
      </c>
      <c r="B25">
        <f>LN('SDs by Year for Deciles'!B25)</f>
        <v>5.9409766531432283E-2</v>
      </c>
      <c r="C25">
        <f>LN('SDs by Year for Deciles'!C25)</f>
        <v>4.6425465710644195E-2</v>
      </c>
      <c r="D25">
        <f>LN('SDs by Year for Deciles'!D25)</f>
        <v>4.0969183687398152E-2</v>
      </c>
      <c r="E25">
        <f>LN('SDs by Year for Deciles'!E25)</f>
        <v>-0.12621876659530623</v>
      </c>
      <c r="F25">
        <f>LN('SDs by Year for Deciles'!F25)</f>
        <v>-0.13105560278014874</v>
      </c>
      <c r="G25">
        <f>LN('SDs by Year for Deciles'!G25)</f>
        <v>2.5068552111807475E-3</v>
      </c>
      <c r="H25">
        <f>LN('SDs by Year for Deciles'!H25)</f>
        <v>-2.0089448425427512E-2</v>
      </c>
      <c r="I25">
        <f>LN('SDs by Year for Deciles'!I25)</f>
        <v>-0.16173218024261965</v>
      </c>
      <c r="J25">
        <f>LN('SDs by Year for Deciles'!J25)</f>
        <v>-0.1054482972882987</v>
      </c>
      <c r="K25">
        <f>LN('SDs by Year for Deciles'!K25)</f>
        <v>-0.28858381223024987</v>
      </c>
    </row>
    <row r="26" spans="1:11" x14ac:dyDescent="0.3">
      <c r="A26">
        <v>1949</v>
      </c>
      <c r="B26">
        <f>LN('SDs by Year for Deciles'!B26)</f>
        <v>-0.24666681660769854</v>
      </c>
      <c r="C26">
        <f>LN('SDs by Year for Deciles'!C26)</f>
        <v>-0.25545111544262056</v>
      </c>
      <c r="D26">
        <f>LN('SDs by Year for Deciles'!D26)</f>
        <v>-0.29907472294803272</v>
      </c>
      <c r="E26">
        <f>LN('SDs by Year for Deciles'!E26)</f>
        <v>-0.39014161481931753</v>
      </c>
      <c r="F26">
        <f>LN('SDs by Year for Deciles'!F26)</f>
        <v>-0.41539423918604929</v>
      </c>
      <c r="G26">
        <f>LN('SDs by Year for Deciles'!G26)</f>
        <v>-0.36198616640022729</v>
      </c>
      <c r="H26">
        <f>LN('SDs by Year for Deciles'!H26)</f>
        <v>-0.39697921535786634</v>
      </c>
      <c r="I26">
        <f>LN('SDs by Year for Deciles'!I26)</f>
        <v>-0.47835682020610565</v>
      </c>
      <c r="J26">
        <f>LN('SDs by Year for Deciles'!J26)</f>
        <v>-0.49347043344628988</v>
      </c>
      <c r="K26">
        <f>LN('SDs by Year for Deciles'!K26)</f>
        <v>-0.59286755076960695</v>
      </c>
    </row>
    <row r="27" spans="1:11" x14ac:dyDescent="0.3">
      <c r="A27">
        <v>1950</v>
      </c>
      <c r="B27">
        <f>LN('SDs by Year for Deciles'!B27)</f>
        <v>0.10666366618821835</v>
      </c>
      <c r="C27">
        <f>LN('SDs by Year for Deciles'!C27)</f>
        <v>2.8120875716654753E-2</v>
      </c>
      <c r="D27">
        <f>LN('SDs by Year for Deciles'!D27)</f>
        <v>-2.9637895369323351E-2</v>
      </c>
      <c r="E27">
        <f>LN('SDs by Year for Deciles'!E27)</f>
        <v>-4.9996241188009875E-2</v>
      </c>
      <c r="F27">
        <f>LN('SDs by Year for Deciles'!F27)</f>
        <v>-0.15132999503493108</v>
      </c>
      <c r="G27">
        <f>LN('SDs by Year for Deciles'!G27)</f>
        <v>-9.8859471093245069E-2</v>
      </c>
      <c r="H27">
        <f>LN('SDs by Year for Deciles'!H27)</f>
        <v>-0.15863471811732119</v>
      </c>
      <c r="I27">
        <f>LN('SDs by Year for Deciles'!I27)</f>
        <v>-0.19943068681297432</v>
      </c>
      <c r="J27">
        <f>LN('SDs by Year for Deciles'!J27)</f>
        <v>-0.22307105394220766</v>
      </c>
      <c r="K27">
        <f>LN('SDs by Year for Deciles'!K27)</f>
        <v>-0.23323176667300946</v>
      </c>
    </row>
    <row r="28" spans="1:11" x14ac:dyDescent="0.3">
      <c r="A28">
        <v>1951</v>
      </c>
      <c r="B28">
        <f>LN('SDs by Year for Deciles'!B28)</f>
        <v>-0.25406420545523778</v>
      </c>
      <c r="C28">
        <f>LN('SDs by Year for Deciles'!C28)</f>
        <v>-0.3253742477478333</v>
      </c>
      <c r="D28">
        <f>LN('SDs by Year for Deciles'!D28)</f>
        <v>-0.31667157011126923</v>
      </c>
      <c r="E28">
        <f>LN('SDs by Year for Deciles'!E28)</f>
        <v>-0.38403292690350649</v>
      </c>
      <c r="F28">
        <f>LN('SDs by Year for Deciles'!F28)</f>
        <v>-0.49757381809024281</v>
      </c>
      <c r="G28">
        <f>LN('SDs by Year for Deciles'!G28)</f>
        <v>-0.45223129689832509</v>
      </c>
      <c r="H28">
        <f>LN('SDs by Year for Deciles'!H28)</f>
        <v>-0.44926496957633949</v>
      </c>
      <c r="I28">
        <f>LN('SDs by Year for Deciles'!I28)</f>
        <v>-0.49586312237647606</v>
      </c>
      <c r="J28">
        <f>LN('SDs by Year for Deciles'!J28)</f>
        <v>-0.60641184166532514</v>
      </c>
      <c r="K28">
        <f>LN('SDs by Year for Deciles'!K28)</f>
        <v>-0.53122562945711893</v>
      </c>
    </row>
    <row r="29" spans="1:11" x14ac:dyDescent="0.3">
      <c r="A29">
        <v>1952</v>
      </c>
      <c r="B29">
        <f>LN('SDs by Year for Deciles'!B29)</f>
        <v>-0.93950562433092755</v>
      </c>
      <c r="C29">
        <f>LN('SDs by Year for Deciles'!C29)</f>
        <v>-0.90846146075982193</v>
      </c>
      <c r="D29">
        <f>LN('SDs by Year for Deciles'!D29)</f>
        <v>-0.92986748023806032</v>
      </c>
      <c r="E29">
        <f>LN('SDs by Year for Deciles'!E29)</f>
        <v>-0.94537202314221325</v>
      </c>
      <c r="F29">
        <f>LN('SDs by Year for Deciles'!F29)</f>
        <v>-0.91760659724538041</v>
      </c>
      <c r="G29">
        <f>LN('SDs by Year for Deciles'!G29)</f>
        <v>-0.94960452527909212</v>
      </c>
      <c r="H29">
        <f>LN('SDs by Year for Deciles'!H29)</f>
        <v>-0.90849618840824276</v>
      </c>
      <c r="I29">
        <f>LN('SDs by Year for Deciles'!I29)</f>
        <v>-0.8626954640616572</v>
      </c>
      <c r="J29">
        <f>LN('SDs by Year for Deciles'!J29)</f>
        <v>-0.99062103643420241</v>
      </c>
      <c r="K29">
        <f>LN('SDs by Year for Deciles'!K29)</f>
        <v>-0.76210290987953277</v>
      </c>
    </row>
    <row r="30" spans="1:11" x14ac:dyDescent="0.3">
      <c r="A30">
        <v>1953</v>
      </c>
      <c r="B30">
        <f>LN('SDs by Year for Deciles'!B30)</f>
        <v>-0.58049729701530994</v>
      </c>
      <c r="C30">
        <f>LN('SDs by Year for Deciles'!C30)</f>
        <v>-0.51530396993898264</v>
      </c>
      <c r="D30">
        <f>LN('SDs by Year for Deciles'!D30)</f>
        <v>-0.49580073156038379</v>
      </c>
      <c r="E30">
        <f>LN('SDs by Year for Deciles'!E30)</f>
        <v>-0.53002543279361813</v>
      </c>
      <c r="F30">
        <f>LN('SDs by Year for Deciles'!F30)</f>
        <v>-0.53329620689335921</v>
      </c>
      <c r="G30">
        <f>LN('SDs by Year for Deciles'!G30)</f>
        <v>-0.56619387619557104</v>
      </c>
      <c r="H30">
        <f>LN('SDs by Year for Deciles'!H30)</f>
        <v>-0.58412956026866647</v>
      </c>
      <c r="I30">
        <f>LN('SDs by Year for Deciles'!I30)</f>
        <v>-0.55393669455673156</v>
      </c>
      <c r="J30">
        <f>LN('SDs by Year for Deciles'!J30)</f>
        <v>-0.70354909336089466</v>
      </c>
      <c r="K30">
        <f>LN('SDs by Year for Deciles'!K30)</f>
        <v>-0.62971802454037207</v>
      </c>
    </row>
    <row r="31" spans="1:11" x14ac:dyDescent="0.3">
      <c r="A31">
        <v>1954</v>
      </c>
      <c r="B31">
        <f>LN('SDs by Year for Deciles'!B31)</f>
        <v>-0.62055864788424075</v>
      </c>
      <c r="C31">
        <f>LN('SDs by Year for Deciles'!C31)</f>
        <v>-0.69744038318003265</v>
      </c>
      <c r="D31">
        <f>LN('SDs by Year for Deciles'!D31)</f>
        <v>-0.72093778698150823</v>
      </c>
      <c r="E31">
        <f>LN('SDs by Year for Deciles'!E31)</f>
        <v>-0.73768649241765161</v>
      </c>
      <c r="F31">
        <f>LN('SDs by Year for Deciles'!F31)</f>
        <v>-0.69020551151403653</v>
      </c>
      <c r="G31">
        <f>LN('SDs by Year for Deciles'!G31)</f>
        <v>-0.69892785651897205</v>
      </c>
      <c r="H31">
        <f>LN('SDs by Year for Deciles'!H31)</f>
        <v>-0.79108861909124739</v>
      </c>
      <c r="I31">
        <f>LN('SDs by Year for Deciles'!I31)</f>
        <v>-0.74470156165924428</v>
      </c>
      <c r="J31">
        <f>LN('SDs by Year for Deciles'!J31)</f>
        <v>-0.78758094452884952</v>
      </c>
      <c r="K31">
        <f>LN('SDs by Year for Deciles'!K31)</f>
        <v>-0.66442756528876601</v>
      </c>
    </row>
    <row r="32" spans="1:11" x14ac:dyDescent="0.3">
      <c r="A32">
        <v>1955</v>
      </c>
      <c r="B32">
        <f>LN('SDs by Year for Deciles'!B32)</f>
        <v>-0.33224159840463702</v>
      </c>
      <c r="C32">
        <f>LN('SDs by Year for Deciles'!C32)</f>
        <v>-0.29169410992164113</v>
      </c>
      <c r="D32">
        <f>LN('SDs by Year for Deciles'!D32)</f>
        <v>-0.25472194155138878</v>
      </c>
      <c r="E32">
        <f>LN('SDs by Year for Deciles'!E32)</f>
        <v>-0.29736345280870963</v>
      </c>
      <c r="F32">
        <f>LN('SDs by Year for Deciles'!F32)</f>
        <v>-0.2137082045277246</v>
      </c>
      <c r="G32">
        <f>LN('SDs by Year for Deciles'!G32)</f>
        <v>-0.25290454899587456</v>
      </c>
      <c r="H32">
        <f>LN('SDs by Year for Deciles'!H32)</f>
        <v>-0.30260621891018868</v>
      </c>
      <c r="I32">
        <f>LN('SDs by Year for Deciles'!I32)</f>
        <v>-0.28222233730074608</v>
      </c>
      <c r="J32">
        <f>LN('SDs by Year for Deciles'!J32)</f>
        <v>-0.31142846618178133</v>
      </c>
      <c r="K32">
        <f>LN('SDs by Year for Deciles'!K32)</f>
        <v>-0.18767385482056398</v>
      </c>
    </row>
    <row r="33" spans="1:11" x14ac:dyDescent="0.3">
      <c r="A33">
        <v>1956</v>
      </c>
      <c r="B33">
        <f>LN('SDs by Year for Deciles'!B33)</f>
        <v>-0.8140320218454159</v>
      </c>
      <c r="C33">
        <f>LN('SDs by Year for Deciles'!C33)</f>
        <v>-0.7357060993268093</v>
      </c>
      <c r="D33">
        <f>LN('SDs by Year for Deciles'!D33)</f>
        <v>-0.64069515775753438</v>
      </c>
      <c r="E33">
        <f>LN('SDs by Year for Deciles'!E33)</f>
        <v>-0.62397192570585147</v>
      </c>
      <c r="F33">
        <f>LN('SDs by Year for Deciles'!F33)</f>
        <v>-0.58998066997200893</v>
      </c>
      <c r="G33">
        <f>LN('SDs by Year for Deciles'!G33)</f>
        <v>-0.55672821100141401</v>
      </c>
      <c r="H33">
        <f>LN('SDs by Year for Deciles'!H33)</f>
        <v>-0.50586627502383985</v>
      </c>
      <c r="I33">
        <f>LN('SDs by Year for Deciles'!I33)</f>
        <v>-0.56265765973996029</v>
      </c>
      <c r="J33">
        <f>LN('SDs by Year for Deciles'!J33)</f>
        <v>-0.53516613168582117</v>
      </c>
      <c r="K33">
        <f>LN('SDs by Year for Deciles'!K33)</f>
        <v>-0.32884857075109358</v>
      </c>
    </row>
    <row r="34" spans="1:11" x14ac:dyDescent="0.3">
      <c r="A34">
        <v>1957</v>
      </c>
      <c r="B34">
        <f>LN('SDs by Year for Deciles'!B34)</f>
        <v>-0.41689518324308328</v>
      </c>
      <c r="C34">
        <f>LN('SDs by Year for Deciles'!C34)</f>
        <v>-0.50255822640311931</v>
      </c>
      <c r="D34">
        <f>LN('SDs by Year for Deciles'!D34)</f>
        <v>-0.34194397933873821</v>
      </c>
      <c r="E34">
        <f>LN('SDs by Year for Deciles'!E34)</f>
        <v>-0.32942115403451983</v>
      </c>
      <c r="F34">
        <f>LN('SDs by Year for Deciles'!F34)</f>
        <v>-0.20893127585918397</v>
      </c>
      <c r="G34">
        <f>LN('SDs by Year for Deciles'!G34)</f>
        <v>-0.2818855713379726</v>
      </c>
      <c r="H34">
        <f>LN('SDs by Year for Deciles'!H34)</f>
        <v>-0.25298696905490303</v>
      </c>
      <c r="I34">
        <f>LN('SDs by Year for Deciles'!I34)</f>
        <v>-0.27006221782837775</v>
      </c>
      <c r="J34">
        <f>LN('SDs by Year for Deciles'!J34)</f>
        <v>-0.25121257632513544</v>
      </c>
      <c r="K34">
        <f>LN('SDs by Year for Deciles'!K34)</f>
        <v>-0.16588458697407657</v>
      </c>
    </row>
    <row r="35" spans="1:11" x14ac:dyDescent="0.3">
      <c r="A35">
        <v>1958</v>
      </c>
      <c r="B35">
        <f>LN('SDs by Year for Deciles'!B35)</f>
        <v>-0.61384074386737841</v>
      </c>
      <c r="C35">
        <f>LN('SDs by Year for Deciles'!C35)</f>
        <v>-0.74398794577532112</v>
      </c>
      <c r="D35">
        <f>LN('SDs by Year for Deciles'!D35)</f>
        <v>-0.62779773830779528</v>
      </c>
      <c r="E35">
        <f>LN('SDs by Year for Deciles'!E35)</f>
        <v>-0.66232703822005889</v>
      </c>
      <c r="F35">
        <f>LN('SDs by Year for Deciles'!F35)</f>
        <v>-0.59997929382765403</v>
      </c>
      <c r="G35">
        <f>LN('SDs by Year for Deciles'!G35)</f>
        <v>-0.69873677326744088</v>
      </c>
      <c r="H35">
        <f>LN('SDs by Year for Deciles'!H35)</f>
        <v>-0.67401929065176913</v>
      </c>
      <c r="I35">
        <f>LN('SDs by Year for Deciles'!I35)</f>
        <v>-0.73273035939597608</v>
      </c>
      <c r="J35">
        <f>LN('SDs by Year for Deciles'!J35)</f>
        <v>-0.71713664042015046</v>
      </c>
      <c r="K35">
        <f>LN('SDs by Year for Deciles'!K35)</f>
        <v>-0.53997297733081884</v>
      </c>
    </row>
    <row r="36" spans="1:11" x14ac:dyDescent="0.3">
      <c r="A36">
        <v>1959</v>
      </c>
      <c r="B36">
        <f>LN('SDs by Year for Deciles'!B36)</f>
        <v>-0.60840721460565172</v>
      </c>
      <c r="C36">
        <f>LN('SDs by Year for Deciles'!C36)</f>
        <v>-0.56555111720541351</v>
      </c>
      <c r="D36">
        <f>LN('SDs by Year for Deciles'!D36)</f>
        <v>-0.57576956040665561</v>
      </c>
      <c r="E36">
        <f>LN('SDs by Year for Deciles'!E36)</f>
        <v>-0.51677998249421209</v>
      </c>
      <c r="F36">
        <f>LN('SDs by Year for Deciles'!F36)</f>
        <v>-0.52156137965132798</v>
      </c>
      <c r="G36">
        <f>LN('SDs by Year for Deciles'!G36)</f>
        <v>-0.61697348633710292</v>
      </c>
      <c r="H36">
        <f>LN('SDs by Year for Deciles'!H36)</f>
        <v>-0.59272463664175956</v>
      </c>
      <c r="I36">
        <f>LN('SDs by Year for Deciles'!I36)</f>
        <v>-0.60758986019846006</v>
      </c>
      <c r="J36">
        <f>LN('SDs by Year for Deciles'!J36)</f>
        <v>-0.69070616227073278</v>
      </c>
      <c r="K36">
        <f>LN('SDs by Year for Deciles'!K36)</f>
        <v>-0.50139853208879914</v>
      </c>
    </row>
    <row r="37" spans="1:11" x14ac:dyDescent="0.3">
      <c r="A37">
        <v>1960</v>
      </c>
      <c r="B37">
        <f>LN('SDs by Year for Deciles'!B37)</f>
        <v>-0.64612619952008687</v>
      </c>
      <c r="C37">
        <f>LN('SDs by Year for Deciles'!C37)</f>
        <v>-0.62768908236299048</v>
      </c>
      <c r="D37">
        <f>LN('SDs by Year for Deciles'!D37)</f>
        <v>-0.56585219395320663</v>
      </c>
      <c r="E37">
        <f>LN('SDs by Year for Deciles'!E37)</f>
        <v>-0.54473752032276634</v>
      </c>
      <c r="F37">
        <f>LN('SDs by Year for Deciles'!F37)</f>
        <v>-0.38777500473784965</v>
      </c>
      <c r="G37">
        <f>LN('SDs by Year for Deciles'!G37)</f>
        <v>-0.48648591896870497</v>
      </c>
      <c r="H37">
        <f>LN('SDs by Year for Deciles'!H37)</f>
        <v>-0.56360071723010829</v>
      </c>
      <c r="I37">
        <f>LN('SDs by Year for Deciles'!I37)</f>
        <v>-0.51314330752121962</v>
      </c>
      <c r="J37">
        <f>LN('SDs by Year for Deciles'!J37)</f>
        <v>-0.55995459532416447</v>
      </c>
      <c r="K37">
        <f>LN('SDs by Year for Deciles'!K37)</f>
        <v>-0.40416944783856079</v>
      </c>
    </row>
    <row r="38" spans="1:11" x14ac:dyDescent="0.3">
      <c r="A38">
        <v>1961</v>
      </c>
      <c r="B38">
        <f>LN('SDs by Year for Deciles'!B38)</f>
        <v>-0.66441784844724483</v>
      </c>
      <c r="C38">
        <f>LN('SDs by Year for Deciles'!C38)</f>
        <v>-0.67848322384128557</v>
      </c>
      <c r="D38">
        <f>LN('SDs by Year for Deciles'!D38)</f>
        <v>-0.60797549476491031</v>
      </c>
      <c r="E38">
        <f>LN('SDs by Year for Deciles'!E38)</f>
        <v>-0.6451306489003209</v>
      </c>
      <c r="F38">
        <f>LN('SDs by Year for Deciles'!F38)</f>
        <v>-0.63464811024607337</v>
      </c>
      <c r="G38">
        <f>LN('SDs by Year for Deciles'!G38)</f>
        <v>-0.71696252805988403</v>
      </c>
      <c r="H38">
        <f>LN('SDs by Year for Deciles'!H38)</f>
        <v>-0.77872903435037277</v>
      </c>
      <c r="I38">
        <f>LN('SDs by Year for Deciles'!I38)</f>
        <v>-0.73471111691765434</v>
      </c>
      <c r="J38">
        <f>LN('SDs by Year for Deciles'!J38)</f>
        <v>-0.8053711962391743</v>
      </c>
      <c r="K38">
        <f>LN('SDs by Year for Deciles'!K38)</f>
        <v>-0.65049773684258838</v>
      </c>
    </row>
    <row r="39" spans="1:11" x14ac:dyDescent="0.3">
      <c r="A39">
        <v>1962</v>
      </c>
      <c r="B39">
        <f>LN('SDs by Year for Deciles'!B39)</f>
        <v>-7.7238559640826585E-2</v>
      </c>
      <c r="C39">
        <f>LN('SDs by Year for Deciles'!C39)</f>
        <v>-3.7970854552054956E-2</v>
      </c>
      <c r="D39">
        <f>LN('SDs by Year for Deciles'!D39)</f>
        <v>3.9076471981792843E-2</v>
      </c>
      <c r="E39">
        <f>LN('SDs by Year for Deciles'!E39)</f>
        <v>3.5270614081919331E-2</v>
      </c>
      <c r="F39">
        <f>LN('SDs by Year for Deciles'!F39)</f>
        <v>3.8489676780523667E-2</v>
      </c>
      <c r="G39">
        <f>LN('SDs by Year for Deciles'!G39)</f>
        <v>-7.0662836531276321E-2</v>
      </c>
      <c r="H39">
        <f>LN('SDs by Year for Deciles'!H39)</f>
        <v>1.6837451189668309E-2</v>
      </c>
      <c r="I39">
        <f>LN('SDs by Year for Deciles'!I39)</f>
        <v>4.4523933879465835E-2</v>
      </c>
      <c r="J39">
        <f>LN('SDs by Year for Deciles'!J39)</f>
        <v>8.0805493601443151E-2</v>
      </c>
      <c r="K39">
        <f>LN('SDs by Year for Deciles'!K39)</f>
        <v>7.8875873340900154E-2</v>
      </c>
    </row>
    <row r="40" spans="1:11" x14ac:dyDescent="0.3">
      <c r="A40">
        <v>1963</v>
      </c>
      <c r="B40">
        <f>LN('SDs by Year for Deciles'!B40)</f>
        <v>-0.68339092794468081</v>
      </c>
      <c r="C40">
        <f>LN('SDs by Year for Deciles'!C40)</f>
        <v>-0.59708819027508897</v>
      </c>
      <c r="D40">
        <f>LN('SDs by Year for Deciles'!D40)</f>
        <v>-0.5804311829076968</v>
      </c>
      <c r="E40">
        <f>LN('SDs by Year for Deciles'!E40)</f>
        <v>-0.52445981504179429</v>
      </c>
      <c r="F40">
        <f>LN('SDs by Year for Deciles'!F40)</f>
        <v>-0.6478679343611855</v>
      </c>
      <c r="G40">
        <f>LN('SDs by Year for Deciles'!G40)</f>
        <v>-0.77708981641038488</v>
      </c>
      <c r="H40">
        <f>LN('SDs by Year for Deciles'!H40)</f>
        <v>-0.6481432226509366</v>
      </c>
      <c r="I40">
        <f>LN('SDs by Year for Deciles'!I40)</f>
        <v>-0.80533315900519264</v>
      </c>
      <c r="J40">
        <f>LN('SDs by Year for Deciles'!J40)</f>
        <v>-0.68526631630907553</v>
      </c>
      <c r="K40">
        <f>LN('SDs by Year for Deciles'!K40)</f>
        <v>-0.58578985984495346</v>
      </c>
    </row>
    <row r="41" spans="1:11" x14ac:dyDescent="0.3">
      <c r="A41">
        <v>1964</v>
      </c>
      <c r="B41">
        <f>LN('SDs by Year for Deciles'!B41)</f>
        <v>-1.1478193397228051</v>
      </c>
      <c r="C41">
        <f>LN('SDs by Year for Deciles'!C41)</f>
        <v>-1.0432040721971021</v>
      </c>
      <c r="D41">
        <f>LN('SDs by Year for Deciles'!D41)</f>
        <v>-1.0109696109906989</v>
      </c>
      <c r="E41">
        <f>LN('SDs by Year for Deciles'!E41)</f>
        <v>-0.93437323942492068</v>
      </c>
      <c r="F41">
        <f>LN('SDs by Year for Deciles'!F41)</f>
        <v>-1.0282311812267468</v>
      </c>
      <c r="G41">
        <f>LN('SDs by Year for Deciles'!G41)</f>
        <v>-1.1267185962908794</v>
      </c>
      <c r="H41">
        <f>LN('SDs by Year for Deciles'!H41)</f>
        <v>-1.13715251340616</v>
      </c>
      <c r="I41">
        <f>LN('SDs by Year for Deciles'!I41)</f>
        <v>-1.1664040960071727</v>
      </c>
      <c r="J41">
        <f>LN('SDs by Year for Deciles'!J41)</f>
        <v>-1.1557669378092625</v>
      </c>
      <c r="K41">
        <f>LN('SDs by Year for Deciles'!K41)</f>
        <v>-1.1073332055604179</v>
      </c>
    </row>
    <row r="42" spans="1:11" x14ac:dyDescent="0.3">
      <c r="A42">
        <v>1965</v>
      </c>
      <c r="B42">
        <f>LN('SDs by Year for Deciles'!B42)</f>
        <v>-0.54990608008905451</v>
      </c>
      <c r="C42">
        <f>LN('SDs by Year for Deciles'!C42)</f>
        <v>-0.54377245891477166</v>
      </c>
      <c r="D42">
        <f>LN('SDs by Year for Deciles'!D42)</f>
        <v>-0.58416363600468324</v>
      </c>
      <c r="E42">
        <f>LN('SDs by Year for Deciles'!E42)</f>
        <v>-0.48187542092297803</v>
      </c>
      <c r="F42">
        <f>LN('SDs by Year for Deciles'!F42)</f>
        <v>-0.54316288234496279</v>
      </c>
      <c r="G42">
        <f>LN('SDs by Year for Deciles'!G42)</f>
        <v>-0.66747358587525041</v>
      </c>
      <c r="H42">
        <f>LN('SDs by Year for Deciles'!H42)</f>
        <v>-0.78664061165205212</v>
      </c>
      <c r="I42">
        <f>LN('SDs by Year for Deciles'!I42)</f>
        <v>-0.72061087906485533</v>
      </c>
      <c r="J42">
        <f>LN('SDs by Year for Deciles'!J42)</f>
        <v>-0.84719386579482869</v>
      </c>
      <c r="K42">
        <f>LN('SDs by Year for Deciles'!K42)</f>
        <v>-0.88799243247048676</v>
      </c>
    </row>
    <row r="43" spans="1:11" x14ac:dyDescent="0.3">
      <c r="A43">
        <v>1966</v>
      </c>
      <c r="B43">
        <f>LN('SDs by Year for Deciles'!B43)</f>
        <v>-5.3320611164088524E-2</v>
      </c>
      <c r="C43">
        <f>LN('SDs by Year for Deciles'!C43)</f>
        <v>-5.3300570777434969E-2</v>
      </c>
      <c r="D43">
        <f>LN('SDs by Year for Deciles'!D43)</f>
        <v>-0.10016404075100878</v>
      </c>
      <c r="E43">
        <f>LN('SDs by Year for Deciles'!E43)</f>
        <v>-4.2210457989692515E-2</v>
      </c>
      <c r="F43">
        <f>LN('SDs by Year for Deciles'!F43)</f>
        <v>-0.13180602478516493</v>
      </c>
      <c r="G43">
        <f>LN('SDs by Year for Deciles'!G43)</f>
        <v>-0.16589048917577492</v>
      </c>
      <c r="H43">
        <f>LN('SDs by Year for Deciles'!H43)</f>
        <v>-0.20144688550861059</v>
      </c>
      <c r="I43">
        <f>LN('SDs by Year for Deciles'!I43)</f>
        <v>-0.23882841823439266</v>
      </c>
      <c r="J43">
        <f>LN('SDs by Year for Deciles'!J43)</f>
        <v>-0.27959750746040263</v>
      </c>
      <c r="K43">
        <f>LN('SDs by Year for Deciles'!K43)</f>
        <v>-0.31469567646007818</v>
      </c>
    </row>
    <row r="44" spans="1:11" x14ac:dyDescent="0.3">
      <c r="A44">
        <v>1967</v>
      </c>
      <c r="B44">
        <f>LN('SDs by Year for Deciles'!B44)</f>
        <v>-0.27398957732012452</v>
      </c>
      <c r="C44">
        <f>LN('SDs by Year for Deciles'!C44)</f>
        <v>-0.26332512594706475</v>
      </c>
      <c r="D44">
        <f>LN('SDs by Year for Deciles'!D44)</f>
        <v>-0.32777655389608351</v>
      </c>
      <c r="E44">
        <f>LN('SDs by Year for Deciles'!E44)</f>
        <v>-0.36293449410987655</v>
      </c>
      <c r="F44">
        <f>LN('SDs by Year for Deciles'!F44)</f>
        <v>-0.49856114094600856</v>
      </c>
      <c r="G44">
        <f>LN('SDs by Year for Deciles'!G44)</f>
        <v>-0.52511557382719387</v>
      </c>
      <c r="H44">
        <f>LN('SDs by Year for Deciles'!H44)</f>
        <v>-0.54462545647729033</v>
      </c>
      <c r="I44">
        <f>LN('SDs by Year for Deciles'!I44)</f>
        <v>-0.64899250559352473</v>
      </c>
      <c r="J44">
        <f>LN('SDs by Year for Deciles'!J44)</f>
        <v>-0.72929677443144059</v>
      </c>
      <c r="K44">
        <f>LN('SDs by Year for Deciles'!K44)</f>
        <v>-0.64612810765666762</v>
      </c>
    </row>
    <row r="45" spans="1:11" x14ac:dyDescent="0.3">
      <c r="A45">
        <v>1968</v>
      </c>
      <c r="B45">
        <f>LN('SDs by Year for Deciles'!B45)</f>
        <v>-0.10794941953490671</v>
      </c>
      <c r="C45">
        <f>LN('SDs by Year for Deciles'!C45)</f>
        <v>-0.15100313853656253</v>
      </c>
      <c r="D45">
        <f>LN('SDs by Year for Deciles'!D45)</f>
        <v>-0.23914590879171554</v>
      </c>
      <c r="E45">
        <f>LN('SDs by Year for Deciles'!E45)</f>
        <v>-0.28415098076713918</v>
      </c>
      <c r="F45">
        <f>LN('SDs by Year for Deciles'!F45)</f>
        <v>-0.35601087876453941</v>
      </c>
      <c r="G45">
        <f>LN('SDs by Year for Deciles'!G45)</f>
        <v>-0.39339079687539169</v>
      </c>
      <c r="H45">
        <f>LN('SDs by Year for Deciles'!H45)</f>
        <v>-0.40585918574655805</v>
      </c>
      <c r="I45">
        <f>LN('SDs by Year for Deciles'!I45)</f>
        <v>-0.52982497377577353</v>
      </c>
      <c r="J45">
        <f>LN('SDs by Year for Deciles'!J45)</f>
        <v>-0.60493668946175372</v>
      </c>
      <c r="K45">
        <f>LN('SDs by Year for Deciles'!K45)</f>
        <v>-0.5316969218874773</v>
      </c>
    </row>
    <row r="46" spans="1:11" x14ac:dyDescent="0.3">
      <c r="A46">
        <v>1969</v>
      </c>
      <c r="B46">
        <f>LN('SDs by Year for Deciles'!B46)</f>
        <v>-2.4437170218552275E-2</v>
      </c>
      <c r="C46">
        <f>LN('SDs by Year for Deciles'!C46)</f>
        <v>-3.2053260818063777E-2</v>
      </c>
      <c r="D46">
        <f>LN('SDs by Year for Deciles'!D46)</f>
        <v>-0.10093698059804704</v>
      </c>
      <c r="E46">
        <f>LN('SDs by Year for Deciles'!E46)</f>
        <v>-0.13041169252468532</v>
      </c>
      <c r="F46">
        <f>LN('SDs by Year for Deciles'!F46)</f>
        <v>-0.21804407576951096</v>
      </c>
      <c r="G46">
        <f>LN('SDs by Year for Deciles'!G46)</f>
        <v>-0.322417074799278</v>
      </c>
      <c r="H46">
        <f>LN('SDs by Year for Deciles'!H46)</f>
        <v>-0.2774743489843598</v>
      </c>
      <c r="I46">
        <f>LN('SDs by Year for Deciles'!I46)</f>
        <v>-0.4119913578237262</v>
      </c>
      <c r="J46">
        <f>LN('SDs by Year for Deciles'!J46)</f>
        <v>-0.44386971436728745</v>
      </c>
      <c r="K46">
        <f>LN('SDs by Year for Deciles'!K46)</f>
        <v>-0.43272942469635378</v>
      </c>
    </row>
    <row r="47" spans="1:11" x14ac:dyDescent="0.3">
      <c r="A47">
        <v>1970</v>
      </c>
      <c r="B47">
        <f>LN('SDs by Year for Deciles'!B47)</f>
        <v>0.2390090264237516</v>
      </c>
      <c r="C47">
        <f>LN('SDs by Year for Deciles'!C47)</f>
        <v>0.25815541969343636</v>
      </c>
      <c r="D47">
        <f>LN('SDs by Year for Deciles'!D47)</f>
        <v>0.27232982749710904</v>
      </c>
      <c r="E47">
        <f>LN('SDs by Year for Deciles'!E47)</f>
        <v>0.2220950017782338</v>
      </c>
      <c r="F47">
        <f>LN('SDs by Year for Deciles'!F47)</f>
        <v>0.12841959964458946</v>
      </c>
      <c r="G47">
        <f>LN('SDs by Year for Deciles'!G47)</f>
        <v>4.6616374628579524E-2</v>
      </c>
      <c r="H47">
        <f>LN('SDs by Year for Deciles'!H47)</f>
        <v>7.069142812253297E-2</v>
      </c>
      <c r="I47">
        <f>LN('SDs by Year for Deciles'!I47)</f>
        <v>-2.0484379636503923E-2</v>
      </c>
      <c r="J47">
        <f>LN('SDs by Year for Deciles'!J47)</f>
        <v>-3.8207706417903178E-2</v>
      </c>
      <c r="K47">
        <f>LN('SDs by Year for Deciles'!K47)</f>
        <v>-2.3612596018287881E-2</v>
      </c>
    </row>
    <row r="48" spans="1:11" x14ac:dyDescent="0.3">
      <c r="A48">
        <v>1971</v>
      </c>
      <c r="B48">
        <f>LN('SDs by Year for Deciles'!B48)</f>
        <v>-5.2731169740292336E-2</v>
      </c>
      <c r="C48">
        <f>LN('SDs by Year for Deciles'!C48)</f>
        <v>-9.4915257796287678E-2</v>
      </c>
      <c r="D48">
        <f>LN('SDs by Year for Deciles'!D48)</f>
        <v>-0.11713287205854826</v>
      </c>
      <c r="E48">
        <f>LN('SDs by Year for Deciles'!E48)</f>
        <v>-0.253552502329837</v>
      </c>
      <c r="F48">
        <f>LN('SDs by Year for Deciles'!F48)</f>
        <v>-0.29926624396265461</v>
      </c>
      <c r="G48">
        <f>LN('SDs by Year for Deciles'!G48)</f>
        <v>-0.2132860465514281</v>
      </c>
      <c r="H48">
        <f>LN('SDs by Year for Deciles'!H48)</f>
        <v>-0.32568027983650899</v>
      </c>
      <c r="I48">
        <f>LN('SDs by Year for Deciles'!I48)</f>
        <v>-0.39336412127733789</v>
      </c>
      <c r="J48">
        <f>LN('SDs by Year for Deciles'!J48)</f>
        <v>-0.46894498980226273</v>
      </c>
      <c r="K48">
        <f>LN('SDs by Year for Deciles'!K48)</f>
        <v>-0.44879806495740937</v>
      </c>
    </row>
    <row r="49" spans="1:11" x14ac:dyDescent="0.3">
      <c r="A49">
        <v>1972</v>
      </c>
      <c r="B49">
        <f>LN('SDs by Year for Deciles'!B49)</f>
        <v>-0.46696824070221421</v>
      </c>
      <c r="C49">
        <f>LN('SDs by Year for Deciles'!C49)</f>
        <v>-0.47845040300759123</v>
      </c>
      <c r="D49">
        <f>LN('SDs by Year for Deciles'!D49)</f>
        <v>-0.55092218703069262</v>
      </c>
      <c r="E49">
        <f>LN('SDs by Year for Deciles'!E49)</f>
        <v>-0.63319855188127827</v>
      </c>
      <c r="F49">
        <f>LN('SDs by Year for Deciles'!F49)</f>
        <v>-0.65950933031709735</v>
      </c>
      <c r="G49">
        <f>LN('SDs by Year for Deciles'!G49)</f>
        <v>-0.61277160521607632</v>
      </c>
      <c r="H49">
        <f>LN('SDs by Year for Deciles'!H49)</f>
        <v>-0.64062114630849865</v>
      </c>
      <c r="I49">
        <f>LN('SDs by Year for Deciles'!I49)</f>
        <v>-0.78305657091858871</v>
      </c>
      <c r="J49">
        <f>LN('SDs by Year for Deciles'!J49)</f>
        <v>-0.72887799051574431</v>
      </c>
      <c r="K49">
        <f>LN('SDs by Year for Deciles'!K49)</f>
        <v>-0.64172999384736584</v>
      </c>
    </row>
    <row r="50" spans="1:11" x14ac:dyDescent="0.3">
      <c r="A50">
        <v>1973</v>
      </c>
      <c r="B50">
        <f>LN('SDs by Year for Deciles'!B50)</f>
        <v>-7.5383246508965815E-2</v>
      </c>
      <c r="C50">
        <f>LN('SDs by Year for Deciles'!C50)</f>
        <v>3.0257587160697031E-2</v>
      </c>
      <c r="D50">
        <f>LN('SDs by Year for Deciles'!D50)</f>
        <v>3.0635891875102302E-2</v>
      </c>
      <c r="E50">
        <f>LN('SDs by Year for Deciles'!E50)</f>
        <v>2.2974063559821404E-2</v>
      </c>
      <c r="F50">
        <f>LN('SDs by Year for Deciles'!F50)</f>
        <v>-3.276495646549462E-2</v>
      </c>
      <c r="G50">
        <f>LN('SDs by Year for Deciles'!G50)</f>
        <v>-2.6469239858385476E-2</v>
      </c>
      <c r="H50">
        <f>LN('SDs by Year for Deciles'!H50)</f>
        <v>8.8507165979620564E-3</v>
      </c>
      <c r="I50">
        <f>LN('SDs by Year for Deciles'!I50)</f>
        <v>3.103344258017296E-2</v>
      </c>
      <c r="J50">
        <f>LN('SDs by Year for Deciles'!J50)</f>
        <v>-4.3437913053623767E-2</v>
      </c>
      <c r="K50">
        <f>LN('SDs by Year for Deciles'!K50)</f>
        <v>1.8919884852510768E-2</v>
      </c>
    </row>
    <row r="51" spans="1:11" x14ac:dyDescent="0.3">
      <c r="A51">
        <v>1974</v>
      </c>
      <c r="B51">
        <f>LN('SDs by Year for Deciles'!B51)</f>
        <v>-0.24418972649565446</v>
      </c>
      <c r="C51">
        <f>LN('SDs by Year for Deciles'!C51)</f>
        <v>-1.2181898950123707E-2</v>
      </c>
      <c r="D51">
        <f>LN('SDs by Year for Deciles'!D51)</f>
        <v>2.6417952603216673E-2</v>
      </c>
      <c r="E51">
        <f>LN('SDs by Year for Deciles'!E51)</f>
        <v>-1.3705492656123809E-2</v>
      </c>
      <c r="F51">
        <f>LN('SDs by Year for Deciles'!F51)</f>
        <v>3.5772467088128444E-2</v>
      </c>
      <c r="G51">
        <f>LN('SDs by Year for Deciles'!G51)</f>
        <v>0.10018012055172802</v>
      </c>
      <c r="H51">
        <f>LN('SDs by Year for Deciles'!H51)</f>
        <v>0.2215102181515313</v>
      </c>
      <c r="I51">
        <f>LN('SDs by Year for Deciles'!I51)</f>
        <v>0.18702713484227287</v>
      </c>
      <c r="J51">
        <f>LN('SDs by Year for Deciles'!J51)</f>
        <v>0.23782721669936197</v>
      </c>
      <c r="K51">
        <f>LN('SDs by Year for Deciles'!K51)</f>
        <v>0.37481344224198665</v>
      </c>
    </row>
    <row r="52" spans="1:11" x14ac:dyDescent="0.3">
      <c r="A52">
        <v>1975</v>
      </c>
      <c r="B52">
        <f>LN('SDs by Year for Deciles'!B52)</f>
        <v>-0.42073814948523031</v>
      </c>
      <c r="C52">
        <f>LN('SDs by Year for Deciles'!C52)</f>
        <v>-0.1955381119550092</v>
      </c>
      <c r="D52">
        <f>LN('SDs by Year for Deciles'!D52)</f>
        <v>-0.16341226958370392</v>
      </c>
      <c r="E52">
        <f>LN('SDs by Year for Deciles'!E52)</f>
        <v>-0.17969740289949665</v>
      </c>
      <c r="F52">
        <f>LN('SDs by Year for Deciles'!F52)</f>
        <v>-0.20066925101874994</v>
      </c>
      <c r="G52">
        <f>LN('SDs by Year for Deciles'!G52)</f>
        <v>-0.16694636319260484</v>
      </c>
      <c r="H52">
        <f>LN('SDs by Year for Deciles'!H52)</f>
        <v>-7.6645650876865271E-2</v>
      </c>
      <c r="I52">
        <f>LN('SDs by Year for Deciles'!I52)</f>
        <v>-9.117822808646546E-2</v>
      </c>
      <c r="J52">
        <f>LN('SDs by Year for Deciles'!J52)</f>
        <v>-0.11425887780193039</v>
      </c>
      <c r="K52">
        <f>LN('SDs by Year for Deciles'!K52)</f>
        <v>3.5636426759385865E-3</v>
      </c>
    </row>
    <row r="53" spans="1:11" x14ac:dyDescent="0.3">
      <c r="A53">
        <v>1976</v>
      </c>
      <c r="B53">
        <f>LN('SDs by Year for Deciles'!B53)</f>
        <v>-0.64682291135486203</v>
      </c>
      <c r="C53">
        <f>LN('SDs by Year for Deciles'!C53)</f>
        <v>-0.52697194350869503</v>
      </c>
      <c r="D53">
        <f>LN('SDs by Year for Deciles'!D53)</f>
        <v>-0.43587431684283123</v>
      </c>
      <c r="E53">
        <f>LN('SDs by Year for Deciles'!E53)</f>
        <v>-0.46482028600958303</v>
      </c>
      <c r="F53">
        <f>LN('SDs by Year for Deciles'!F53)</f>
        <v>-0.46425379129179517</v>
      </c>
      <c r="G53">
        <f>LN('SDs by Year for Deciles'!G53)</f>
        <v>-0.41472787538734945</v>
      </c>
      <c r="H53">
        <f>LN('SDs by Year for Deciles'!H53)</f>
        <v>-0.4893511920994465</v>
      </c>
      <c r="I53">
        <f>LN('SDs by Year for Deciles'!I53)</f>
        <v>-0.45128865205006891</v>
      </c>
      <c r="J53">
        <f>LN('SDs by Year for Deciles'!J53)</f>
        <v>-0.44978069813271843</v>
      </c>
      <c r="K53">
        <f>LN('SDs by Year for Deciles'!K53)</f>
        <v>-0.3394947999669774</v>
      </c>
    </row>
    <row r="54" spans="1:11" x14ac:dyDescent="0.3">
      <c r="A54">
        <v>1977</v>
      </c>
      <c r="B54">
        <f>LN('SDs by Year for Deciles'!B54)</f>
        <v>-1.0216901371770628</v>
      </c>
      <c r="C54">
        <f>LN('SDs by Year for Deciles'!C54)</f>
        <v>-0.82028988154672766</v>
      </c>
      <c r="D54">
        <f>LN('SDs by Year for Deciles'!D54)</f>
        <v>-0.72089049180303721</v>
      </c>
      <c r="E54">
        <f>LN('SDs by Year for Deciles'!E54)</f>
        <v>-0.75341749015237014</v>
      </c>
      <c r="F54">
        <f>LN('SDs by Year for Deciles'!F54)</f>
        <v>-0.73136215963333917</v>
      </c>
      <c r="G54">
        <f>LN('SDs by Year for Deciles'!G54)</f>
        <v>-0.71705060464150439</v>
      </c>
      <c r="H54">
        <f>LN('SDs by Year for Deciles'!H54)</f>
        <v>-0.74640872647379097</v>
      </c>
      <c r="I54">
        <f>LN('SDs by Year for Deciles'!I54)</f>
        <v>-0.69054656509366796</v>
      </c>
      <c r="J54">
        <f>LN('SDs by Year for Deciles'!J54)</f>
        <v>-0.65109777961124182</v>
      </c>
      <c r="K54">
        <f>LN('SDs by Year for Deciles'!K54)</f>
        <v>-0.51802480915936311</v>
      </c>
    </row>
    <row r="55" spans="1:11" x14ac:dyDescent="0.3">
      <c r="A55">
        <v>1978</v>
      </c>
      <c r="B55">
        <f>LN('SDs by Year for Deciles'!B55)</f>
        <v>-0.20766644206790788</v>
      </c>
      <c r="C55">
        <f>LN('SDs by Year for Deciles'!C55)</f>
        <v>-0.12943465287685868</v>
      </c>
      <c r="D55">
        <f>LN('SDs by Year for Deciles'!D55)</f>
        <v>-9.9217202286361647E-2</v>
      </c>
      <c r="E55">
        <f>LN('SDs by Year for Deciles'!E55)</f>
        <v>-0.15016961479303892</v>
      </c>
      <c r="F55">
        <f>LN('SDs by Year for Deciles'!F55)</f>
        <v>-0.2069196238538957</v>
      </c>
      <c r="G55">
        <f>LN('SDs by Year for Deciles'!G55)</f>
        <v>-0.18898732373785548</v>
      </c>
      <c r="H55">
        <f>LN('SDs by Year for Deciles'!H55)</f>
        <v>-0.25946527061372165</v>
      </c>
      <c r="I55">
        <f>LN('SDs by Year for Deciles'!I55)</f>
        <v>-0.27660762118353416</v>
      </c>
      <c r="J55">
        <f>LN('SDs by Year for Deciles'!J55)</f>
        <v>-0.32422020028997278</v>
      </c>
      <c r="K55">
        <f>LN('SDs by Year for Deciles'!K55)</f>
        <v>-0.19523538246338004</v>
      </c>
    </row>
    <row r="56" spans="1:11" x14ac:dyDescent="0.3">
      <c r="A56">
        <v>1979</v>
      </c>
      <c r="B56">
        <f>LN('SDs by Year for Deciles'!B56)</f>
        <v>-0.38221841840942955</v>
      </c>
      <c r="C56">
        <f>LN('SDs by Year for Deciles'!C56)</f>
        <v>-0.241560863602471</v>
      </c>
      <c r="D56">
        <f>LN('SDs by Year for Deciles'!D56)</f>
        <v>-0.20573226137959572</v>
      </c>
      <c r="E56">
        <f>LN('SDs by Year for Deciles'!E56)</f>
        <v>-0.27808956138405488</v>
      </c>
      <c r="F56">
        <f>LN('SDs by Year for Deciles'!F56)</f>
        <v>-0.27864569047581494</v>
      </c>
      <c r="G56">
        <f>LN('SDs by Year for Deciles'!G56)</f>
        <v>-0.34066380899974863</v>
      </c>
      <c r="H56">
        <f>LN('SDs by Year for Deciles'!H56)</f>
        <v>-0.37093325511409991</v>
      </c>
      <c r="I56">
        <f>LN('SDs by Year for Deciles'!I56)</f>
        <v>-0.32611525578808936</v>
      </c>
      <c r="J56">
        <f>LN('SDs by Year for Deciles'!J56)</f>
        <v>-0.42139024260529218</v>
      </c>
      <c r="K56">
        <f>LN('SDs by Year for Deciles'!K56)</f>
        <v>-0.34149221565834281</v>
      </c>
    </row>
    <row r="57" spans="1:11" x14ac:dyDescent="0.3">
      <c r="A57">
        <v>1980</v>
      </c>
      <c r="B57">
        <f>LN('SDs by Year for Deciles'!B57)</f>
        <v>-1.3420655470072092E-2</v>
      </c>
      <c r="C57">
        <f>LN('SDs by Year for Deciles'!C57)</f>
        <v>9.1712807923199441E-2</v>
      </c>
      <c r="D57">
        <f>LN('SDs by Year for Deciles'!D57)</f>
        <v>8.4111342618652427E-2</v>
      </c>
      <c r="E57">
        <f>LN('SDs by Year for Deciles'!E57)</f>
        <v>4.260919652291649E-2</v>
      </c>
      <c r="F57">
        <f>LN('SDs by Year for Deciles'!F57)</f>
        <v>3.300915360694557E-2</v>
      </c>
      <c r="G57">
        <f>LN('SDs by Year for Deciles'!G57)</f>
        <v>-3.0414878570342183E-2</v>
      </c>
      <c r="H57">
        <f>LN('SDs by Year for Deciles'!H57)</f>
        <v>-7.8991160334326641E-3</v>
      </c>
      <c r="I57">
        <f>LN('SDs by Year for Deciles'!I57)</f>
        <v>-3.1338975810697209E-2</v>
      </c>
      <c r="J57">
        <f>LN('SDs by Year for Deciles'!J57)</f>
        <v>-3.4832674691374473E-2</v>
      </c>
      <c r="K57">
        <f>LN('SDs by Year for Deciles'!K57)</f>
        <v>0.11744520081884267</v>
      </c>
    </row>
    <row r="58" spans="1:11" x14ac:dyDescent="0.3">
      <c r="A58">
        <v>1981</v>
      </c>
      <c r="B58">
        <f>LN('SDs by Year for Deciles'!B58)</f>
        <v>-0.28282853660234986</v>
      </c>
      <c r="C58">
        <f>LN('SDs by Year for Deciles'!C58)</f>
        <v>-0.22348736040978412</v>
      </c>
      <c r="D58">
        <f>LN('SDs by Year for Deciles'!D58)</f>
        <v>-0.21354229128016164</v>
      </c>
      <c r="E58">
        <f>LN('SDs by Year for Deciles'!E58)</f>
        <v>-0.2456512089082056</v>
      </c>
      <c r="F58">
        <f>LN('SDs by Year for Deciles'!F58)</f>
        <v>-0.25709208685223617</v>
      </c>
      <c r="G58">
        <f>LN('SDs by Year for Deciles'!G58)</f>
        <v>-0.23975831525052504</v>
      </c>
      <c r="H58">
        <f>LN('SDs by Year for Deciles'!H58)</f>
        <v>-0.23662527269354758</v>
      </c>
      <c r="I58">
        <f>LN('SDs by Year for Deciles'!I58)</f>
        <v>-0.28295459792272393</v>
      </c>
      <c r="J58">
        <f>LN('SDs by Year for Deciles'!J58)</f>
        <v>-0.18983209037449283</v>
      </c>
      <c r="K58">
        <f>LN('SDs by Year for Deciles'!K58)</f>
        <v>-7.80047856479711E-2</v>
      </c>
    </row>
    <row r="59" spans="1:11" x14ac:dyDescent="0.3">
      <c r="A59">
        <v>1982</v>
      </c>
      <c r="B59">
        <f>LN('SDs by Year for Deciles'!B59)</f>
        <v>-0.35146852091136344</v>
      </c>
      <c r="C59">
        <f>LN('SDs by Year for Deciles'!C59)</f>
        <v>-0.26531150331231129</v>
      </c>
      <c r="D59">
        <f>LN('SDs by Year for Deciles'!D59)</f>
        <v>-0.18837624950834575</v>
      </c>
      <c r="E59">
        <f>LN('SDs by Year for Deciles'!E59)</f>
        <v>-0.19102734241491806</v>
      </c>
      <c r="F59">
        <f>LN('SDs by Year for Deciles'!F59)</f>
        <v>-0.11681587850367758</v>
      </c>
      <c r="G59">
        <f>LN('SDs by Year for Deciles'!G59)</f>
        <v>-0.11317989637662514</v>
      </c>
      <c r="H59">
        <f>LN('SDs by Year for Deciles'!H59)</f>
        <v>-2.0637495701842784E-2</v>
      </c>
      <c r="I59">
        <f>LN('SDs by Year for Deciles'!I59)</f>
        <v>6.298016333095459E-4</v>
      </c>
      <c r="J59">
        <f>LN('SDs by Year for Deciles'!J59)</f>
        <v>3.291239595575883E-2</v>
      </c>
      <c r="K59">
        <f>LN('SDs by Year for Deciles'!K59)</f>
        <v>0.18615586310390125</v>
      </c>
    </row>
    <row r="60" spans="1:11" x14ac:dyDescent="0.3">
      <c r="A60">
        <v>1983</v>
      </c>
      <c r="B60">
        <f>LN('SDs by Year for Deciles'!B60)</f>
        <v>-0.39712795892126285</v>
      </c>
      <c r="C60">
        <f>LN('SDs by Year for Deciles'!C60)</f>
        <v>-0.42367745057783202</v>
      </c>
      <c r="D60">
        <f>LN('SDs by Year for Deciles'!D60)</f>
        <v>-0.42005756196121502</v>
      </c>
      <c r="E60">
        <f>LN('SDs by Year for Deciles'!E60)</f>
        <v>-0.37110860993633576</v>
      </c>
      <c r="F60">
        <f>LN('SDs by Year for Deciles'!F60)</f>
        <v>-0.35385463902582576</v>
      </c>
      <c r="G60">
        <f>LN('SDs by Year for Deciles'!G60)</f>
        <v>-0.31198979245614122</v>
      </c>
      <c r="H60">
        <f>LN('SDs by Year for Deciles'!H60)</f>
        <v>-0.31896636249154731</v>
      </c>
      <c r="I60">
        <f>LN('SDs by Year for Deciles'!I60)</f>
        <v>-0.27106359414903053</v>
      </c>
      <c r="J60">
        <f>LN('SDs by Year for Deciles'!J60)</f>
        <v>-0.29696233451785647</v>
      </c>
      <c r="K60">
        <f>LN('SDs by Year for Deciles'!K60)</f>
        <v>-0.1464487493202804</v>
      </c>
    </row>
    <row r="61" spans="1:11" x14ac:dyDescent="0.3">
      <c r="A61">
        <v>1984</v>
      </c>
      <c r="B61">
        <f>LN('SDs by Year for Deciles'!B61)</f>
        <v>-0.79497616165539009</v>
      </c>
      <c r="C61">
        <f>LN('SDs by Year for Deciles'!C61)</f>
        <v>-0.65544107538491403</v>
      </c>
      <c r="D61">
        <f>LN('SDs by Year for Deciles'!D61)</f>
        <v>-0.51470982418173861</v>
      </c>
      <c r="E61">
        <f>LN('SDs by Year for Deciles'!E61)</f>
        <v>-0.51078895777152966</v>
      </c>
      <c r="F61">
        <f>LN('SDs by Year for Deciles'!F61)</f>
        <v>-0.39139801523527973</v>
      </c>
      <c r="G61">
        <f>LN('SDs by Year for Deciles'!G61)</f>
        <v>-0.29831978616509242</v>
      </c>
      <c r="H61">
        <f>LN('SDs by Year for Deciles'!H61)</f>
        <v>-0.3267070714249985</v>
      </c>
      <c r="I61">
        <f>LN('SDs by Year for Deciles'!I61)</f>
        <v>-0.27153841862374123</v>
      </c>
      <c r="J61">
        <f>LN('SDs by Year for Deciles'!J61)</f>
        <v>-0.285919626472521</v>
      </c>
      <c r="K61">
        <f>LN('SDs by Year for Deciles'!K61)</f>
        <v>-0.18424741005945808</v>
      </c>
    </row>
    <row r="62" spans="1:11" x14ac:dyDescent="0.3">
      <c r="A62">
        <v>1985</v>
      </c>
      <c r="B62">
        <f>LN('SDs by Year for Deciles'!B62)</f>
        <v>-0.96812627851704747</v>
      </c>
      <c r="C62">
        <f>LN('SDs by Year for Deciles'!C62)</f>
        <v>-0.8597355555009023</v>
      </c>
      <c r="D62">
        <f>LN('SDs by Year for Deciles'!D62)</f>
        <v>-0.70422835057076283</v>
      </c>
      <c r="E62">
        <f>LN('SDs by Year for Deciles'!E62)</f>
        <v>-0.73775759207849423</v>
      </c>
      <c r="F62">
        <f>LN('SDs by Year for Deciles'!F62)</f>
        <v>-0.73198988516746011</v>
      </c>
      <c r="G62">
        <f>LN('SDs by Year for Deciles'!G62)</f>
        <v>-0.66525189712121235</v>
      </c>
      <c r="H62">
        <f>LN('SDs by Year for Deciles'!H62)</f>
        <v>-0.61444691201628021</v>
      </c>
      <c r="I62">
        <f>LN('SDs by Year for Deciles'!I62)</f>
        <v>-0.60064457466904708</v>
      </c>
      <c r="J62">
        <f>LN('SDs by Year for Deciles'!J62)</f>
        <v>-0.52680088478178466</v>
      </c>
      <c r="K62">
        <f>LN('SDs by Year for Deciles'!K62)</f>
        <v>-0.41707423400141663</v>
      </c>
    </row>
    <row r="63" spans="1:11" x14ac:dyDescent="0.3">
      <c r="A63">
        <v>1986</v>
      </c>
      <c r="B63">
        <f>LN('SDs by Year for Deciles'!B63)</f>
        <v>-0.71334376544722722</v>
      </c>
      <c r="C63">
        <f>LN('SDs by Year for Deciles'!C63)</f>
        <v>-0.52127839748910676</v>
      </c>
      <c r="D63">
        <f>LN('SDs by Year for Deciles'!D63)</f>
        <v>-0.4366988422653561</v>
      </c>
      <c r="E63">
        <f>LN('SDs by Year for Deciles'!E63)</f>
        <v>-0.40963880587987822</v>
      </c>
      <c r="F63">
        <f>LN('SDs by Year for Deciles'!F63)</f>
        <v>-0.43180805675424827</v>
      </c>
      <c r="G63">
        <f>LN('SDs by Year for Deciles'!G63)</f>
        <v>-0.35088885852005119</v>
      </c>
      <c r="H63">
        <f>LN('SDs by Year for Deciles'!H63)</f>
        <v>-0.33659084365474912</v>
      </c>
      <c r="I63">
        <f>LN('SDs by Year for Deciles'!I63)</f>
        <v>-0.23299946162513752</v>
      </c>
      <c r="J63">
        <f>LN('SDs by Year for Deciles'!J63)</f>
        <v>-0.14249372028505328</v>
      </c>
      <c r="K63">
        <f>LN('SDs by Year for Deciles'!K63)</f>
        <v>-5.1240664193596172E-2</v>
      </c>
    </row>
    <row r="64" spans="1:11" x14ac:dyDescent="0.3">
      <c r="A64">
        <v>1987</v>
      </c>
      <c r="B64">
        <f>LN('SDs by Year for Deciles'!B64)</f>
        <v>0.20810300727944708</v>
      </c>
      <c r="C64">
        <f>LN('SDs by Year for Deciles'!C64)</f>
        <v>0.38768124174223734</v>
      </c>
      <c r="D64">
        <f>LN('SDs by Year for Deciles'!D64)</f>
        <v>0.39277830318942408</v>
      </c>
      <c r="E64">
        <f>LN('SDs by Year for Deciles'!E64)</f>
        <v>0.5296100858490167</v>
      </c>
      <c r="F64">
        <f>LN('SDs by Year for Deciles'!F64)</f>
        <v>0.5929345031282478</v>
      </c>
      <c r="G64">
        <f>LN('SDs by Year for Deciles'!G64)</f>
        <v>0.33536448042867528</v>
      </c>
      <c r="H64">
        <f>LN('SDs by Year for Deciles'!H64)</f>
        <v>0.36893942675871438</v>
      </c>
      <c r="I64">
        <f>LN('SDs by Year for Deciles'!I64)</f>
        <v>0.36610038458588762</v>
      </c>
      <c r="J64">
        <f>LN('SDs by Year for Deciles'!J64)</f>
        <v>0.4392544312642388</v>
      </c>
      <c r="K64">
        <f>LN('SDs by Year for Deciles'!K64)</f>
        <v>0.48572317720514924</v>
      </c>
    </row>
    <row r="65" spans="1:11" x14ac:dyDescent="0.3">
      <c r="A65">
        <v>1988</v>
      </c>
      <c r="B65">
        <f>LN('SDs by Year for Deciles'!B65)</f>
        <v>-0.74244037122599416</v>
      </c>
      <c r="C65">
        <f>LN('SDs by Year for Deciles'!C65)</f>
        <v>-0.58904665836059089</v>
      </c>
      <c r="D65">
        <f>LN('SDs by Year for Deciles'!D65)</f>
        <v>-0.56777170720845715</v>
      </c>
      <c r="E65">
        <f>LN('SDs by Year for Deciles'!E65)</f>
        <v>-0.47278509393464768</v>
      </c>
      <c r="F65">
        <f>LN('SDs by Year for Deciles'!F65)</f>
        <v>-0.51330703325091676</v>
      </c>
      <c r="G65">
        <f>LN('SDs by Year for Deciles'!G65)</f>
        <v>-0.40576765387051839</v>
      </c>
      <c r="H65">
        <f>LN('SDs by Year for Deciles'!H65)</f>
        <v>-0.30605380396778653</v>
      </c>
      <c r="I65">
        <f>LN('SDs by Year for Deciles'!I65)</f>
        <v>-0.1952280889074797</v>
      </c>
      <c r="J65">
        <f>LN('SDs by Year for Deciles'!J65)</f>
        <v>-0.1125462714725515</v>
      </c>
      <c r="K65">
        <f>LN('SDs by Year for Deciles'!K65)</f>
        <v>6.4447892030877765E-2</v>
      </c>
    </row>
    <row r="66" spans="1:11" x14ac:dyDescent="0.3">
      <c r="A66">
        <v>1989</v>
      </c>
      <c r="B66">
        <f>LN('SDs by Year for Deciles'!B66)</f>
        <v>-0.82178542134476706</v>
      </c>
      <c r="C66">
        <f>LN('SDs by Year for Deciles'!C66)</f>
        <v>-0.70498294773161518</v>
      </c>
      <c r="D66">
        <f>LN('SDs by Year for Deciles'!D66)</f>
        <v>-0.66427987948615563</v>
      </c>
      <c r="E66">
        <f>LN('SDs by Year for Deciles'!E66)</f>
        <v>-0.68521472583425291</v>
      </c>
      <c r="F66">
        <f>LN('SDs by Year for Deciles'!F66)</f>
        <v>-0.61085224183316122</v>
      </c>
      <c r="G66">
        <f>LN('SDs by Year for Deciles'!G66)</f>
        <v>-0.60399409865845499</v>
      </c>
      <c r="H66">
        <f>LN('SDs by Year for Deciles'!H66)</f>
        <v>-0.52247656650685237</v>
      </c>
      <c r="I66">
        <f>LN('SDs by Year for Deciles'!I66)</f>
        <v>-0.40143623492802549</v>
      </c>
      <c r="J66">
        <f>LN('SDs by Year for Deciles'!J66)</f>
        <v>-0.33574410177574165</v>
      </c>
      <c r="K66">
        <f>LN('SDs by Year for Deciles'!K66)</f>
        <v>-0.17465581382349699</v>
      </c>
    </row>
    <row r="67" spans="1:11" x14ac:dyDescent="0.3">
      <c r="A67">
        <v>1990</v>
      </c>
      <c r="B67">
        <f>LN('SDs by Year for Deciles'!B67)</f>
        <v>-0.53169181644737562</v>
      </c>
      <c r="C67">
        <f>LN('SDs by Year for Deciles'!C67)</f>
        <v>-0.23512630864754366</v>
      </c>
      <c r="D67">
        <f>LN('SDs by Year for Deciles'!D67)</f>
        <v>-0.20226429790561654</v>
      </c>
      <c r="E67">
        <f>LN('SDs by Year for Deciles'!E67)</f>
        <v>-0.17580086280382587</v>
      </c>
      <c r="F67">
        <f>LN('SDs by Year for Deciles'!F67)</f>
        <v>-0.1120864172415932</v>
      </c>
      <c r="G67">
        <f>LN('SDs by Year for Deciles'!G67)</f>
        <v>-0.14690151860269857</v>
      </c>
      <c r="H67">
        <f>LN('SDs by Year for Deciles'!H67)</f>
        <v>-0.14703935864938855</v>
      </c>
      <c r="I67">
        <f>LN('SDs by Year for Deciles'!I67)</f>
        <v>-7.5842706705254781E-2</v>
      </c>
      <c r="J67">
        <f>LN('SDs by Year for Deciles'!J67)</f>
        <v>-6.6676271164452225E-2</v>
      </c>
      <c r="K67">
        <f>LN('SDs by Year for Deciles'!K67)</f>
        <v>2.7440054425390978E-2</v>
      </c>
    </row>
    <row r="68" spans="1:11" x14ac:dyDescent="0.3">
      <c r="A68">
        <v>1991</v>
      </c>
      <c r="B68">
        <f>LN('SDs by Year for Deciles'!B68)</f>
        <v>-0.52157991103886614</v>
      </c>
      <c r="C68">
        <f>LN('SDs by Year for Deciles'!C68)</f>
        <v>-0.24149338442709187</v>
      </c>
      <c r="D68">
        <f>LN('SDs by Year for Deciles'!D68)</f>
        <v>-0.24047919910820015</v>
      </c>
      <c r="E68">
        <f>LN('SDs by Year for Deciles'!E68)</f>
        <v>-0.23010019273061061</v>
      </c>
      <c r="F68">
        <f>LN('SDs by Year for Deciles'!F68)</f>
        <v>-0.21271808583062701</v>
      </c>
      <c r="G68">
        <f>LN('SDs by Year for Deciles'!G68)</f>
        <v>-0.22545497058673772</v>
      </c>
      <c r="H68">
        <f>LN('SDs by Year for Deciles'!H68)</f>
        <v>-0.2447017687573507</v>
      </c>
      <c r="I68">
        <f>LN('SDs by Year for Deciles'!I68)</f>
        <v>-0.20111912932692227</v>
      </c>
      <c r="J68">
        <f>LN('SDs by Year for Deciles'!J68)</f>
        <v>-0.14870304517033001</v>
      </c>
      <c r="K68">
        <f>LN('SDs by Year for Deciles'!K68)</f>
        <v>-0.10201168481198046</v>
      </c>
    </row>
    <row r="69" spans="1:11" x14ac:dyDescent="0.3">
      <c r="A69">
        <v>1992</v>
      </c>
      <c r="B69">
        <f>LN('SDs by Year for Deciles'!B69)</f>
        <v>-0.61628058832841881</v>
      </c>
      <c r="C69">
        <f>LN('SDs by Year for Deciles'!C69)</f>
        <v>-0.38390813821830166</v>
      </c>
      <c r="D69">
        <f>LN('SDs by Year for Deciles'!D69)</f>
        <v>-0.45587826361580691</v>
      </c>
      <c r="E69">
        <f>LN('SDs by Year for Deciles'!E69)</f>
        <v>-0.43330455428982584</v>
      </c>
      <c r="F69">
        <f>LN('SDs by Year for Deciles'!F69)</f>
        <v>-0.39734516426298783</v>
      </c>
      <c r="G69">
        <f>LN('SDs by Year for Deciles'!G69)</f>
        <v>-0.39864491856464696</v>
      </c>
      <c r="H69">
        <f>LN('SDs by Year for Deciles'!H69)</f>
        <v>-0.49228195856476153</v>
      </c>
      <c r="I69">
        <f>LN('SDs by Year for Deciles'!I69)</f>
        <v>-0.49463080397721043</v>
      </c>
      <c r="J69">
        <f>LN('SDs by Year for Deciles'!J69)</f>
        <v>-0.46318691591881317</v>
      </c>
      <c r="K69">
        <f>LN('SDs by Year for Deciles'!K69)</f>
        <v>-0.4953985684096866</v>
      </c>
    </row>
    <row r="70" spans="1:11" x14ac:dyDescent="0.3">
      <c r="A70">
        <v>1993</v>
      </c>
      <c r="B70">
        <f>LN('SDs by Year for Deciles'!B70)</f>
        <v>-0.76420718709915847</v>
      </c>
      <c r="C70">
        <f>LN('SDs by Year for Deciles'!C70)</f>
        <v>-0.60631465289623621</v>
      </c>
      <c r="D70">
        <f>LN('SDs by Year for Deciles'!D70)</f>
        <v>-0.52820409171216876</v>
      </c>
      <c r="E70">
        <f>LN('SDs by Year for Deciles'!E70)</f>
        <v>-0.5509048386597909</v>
      </c>
      <c r="F70">
        <f>LN('SDs by Year for Deciles'!F70)</f>
        <v>-0.53941030062176731</v>
      </c>
      <c r="G70">
        <f>LN('SDs by Year for Deciles'!G70)</f>
        <v>-0.54307853519614768</v>
      </c>
      <c r="H70">
        <f>LN('SDs by Year for Deciles'!H70)</f>
        <v>-0.64320149378778835</v>
      </c>
      <c r="I70">
        <f>LN('SDs by Year for Deciles'!I70)</f>
        <v>-0.51550656228453129</v>
      </c>
      <c r="J70">
        <f>LN('SDs by Year for Deciles'!J70)</f>
        <v>-0.62324805318027809</v>
      </c>
      <c r="K70">
        <f>LN('SDs by Year for Deciles'!K70)</f>
        <v>-0.5735701994308422</v>
      </c>
    </row>
    <row r="71" spans="1:11" x14ac:dyDescent="0.3">
      <c r="A71">
        <v>1994</v>
      </c>
      <c r="B71">
        <f>LN('SDs by Year for Deciles'!B71)</f>
        <v>-0.64372483530670921</v>
      </c>
      <c r="C71">
        <f>LN('SDs by Year for Deciles'!C71)</f>
        <v>-0.50036882053154863</v>
      </c>
      <c r="D71">
        <f>LN('SDs by Year for Deciles'!D71)</f>
        <v>-0.44934176335764831</v>
      </c>
      <c r="E71">
        <f>LN('SDs by Year for Deciles'!E71)</f>
        <v>-0.46540143560349134</v>
      </c>
      <c r="F71">
        <f>LN('SDs by Year for Deciles'!F71)</f>
        <v>-0.4082103729016513</v>
      </c>
      <c r="G71">
        <f>LN('SDs by Year for Deciles'!G71)</f>
        <v>-0.46138011882368346</v>
      </c>
      <c r="H71">
        <f>LN('SDs by Year for Deciles'!H71)</f>
        <v>-0.43121993464807723</v>
      </c>
      <c r="I71">
        <f>LN('SDs by Year for Deciles'!I71)</f>
        <v>-0.4555580705508504</v>
      </c>
      <c r="J71">
        <f>LN('SDs by Year for Deciles'!J71)</f>
        <v>-0.51508635446800755</v>
      </c>
      <c r="K71">
        <f>LN('SDs by Year for Deciles'!K71)</f>
        <v>-0.4691991529236032</v>
      </c>
    </row>
    <row r="72" spans="1:11" x14ac:dyDescent="0.3">
      <c r="A72">
        <v>1995</v>
      </c>
      <c r="B72">
        <f>LN('SDs by Year for Deciles'!B72)</f>
        <v>-0.83601805064656365</v>
      </c>
      <c r="C72">
        <f>LN('SDs by Year for Deciles'!C72)</f>
        <v>-0.64005770028054187</v>
      </c>
      <c r="D72">
        <f>LN('SDs by Year for Deciles'!D72)</f>
        <v>-0.56525189096702455</v>
      </c>
      <c r="E72">
        <f>LN('SDs by Year for Deciles'!E72)</f>
        <v>-0.61476122916486831</v>
      </c>
      <c r="F72">
        <f>LN('SDs by Year for Deciles'!F72)</f>
        <v>-0.63353766202184869</v>
      </c>
      <c r="G72">
        <f>LN('SDs by Year for Deciles'!G72)</f>
        <v>-0.5942217255636858</v>
      </c>
      <c r="H72">
        <f>LN('SDs by Year for Deciles'!H72)</f>
        <v>-0.56891564789066318</v>
      </c>
      <c r="I72">
        <f>LN('SDs by Year for Deciles'!I72)</f>
        <v>-0.57712569552322279</v>
      </c>
      <c r="J72">
        <f>LN('SDs by Year for Deciles'!J72)</f>
        <v>-0.6458285747921434</v>
      </c>
      <c r="K72">
        <f>LN('SDs by Year for Deciles'!K72)</f>
        <v>-0.66741510839491147</v>
      </c>
    </row>
    <row r="73" spans="1:11" x14ac:dyDescent="0.3">
      <c r="A73">
        <v>1996</v>
      </c>
      <c r="B73">
        <f>LN('SDs by Year for Deciles'!B73)</f>
        <v>-0.49107201727915434</v>
      </c>
      <c r="C73">
        <f>LN('SDs by Year for Deciles'!C73)</f>
        <v>-0.30148354276546119</v>
      </c>
      <c r="D73">
        <f>LN('SDs by Year for Deciles'!D73)</f>
        <v>-0.28294265458985707</v>
      </c>
      <c r="E73">
        <f>LN('SDs by Year for Deciles'!E73)</f>
        <v>-0.28524371433132939</v>
      </c>
      <c r="F73">
        <f>LN('SDs by Year for Deciles'!F73)</f>
        <v>-0.33017073286613258</v>
      </c>
      <c r="G73">
        <f>LN('SDs by Year for Deciles'!G73)</f>
        <v>-0.348117378856176</v>
      </c>
      <c r="H73">
        <f>LN('SDs by Year for Deciles'!H73)</f>
        <v>-0.39258639588480881</v>
      </c>
      <c r="I73">
        <f>LN('SDs by Year for Deciles'!I73)</f>
        <v>-0.31457239824564803</v>
      </c>
      <c r="J73">
        <f>LN('SDs by Year for Deciles'!J73)</f>
        <v>-0.36833552214581816</v>
      </c>
      <c r="K73">
        <f>LN('SDs by Year for Deciles'!K73)</f>
        <v>-0.25741543017322827</v>
      </c>
    </row>
    <row r="74" spans="1:11" x14ac:dyDescent="0.3">
      <c r="A74">
        <v>1997</v>
      </c>
      <c r="B74">
        <f>LN('SDs by Year for Deciles'!B74)</f>
        <v>-0.44958001832921285</v>
      </c>
      <c r="C74">
        <f>LN('SDs by Year for Deciles'!C74)</f>
        <v>-0.25769100119240496</v>
      </c>
      <c r="D74">
        <f>LN('SDs by Year for Deciles'!D74)</f>
        <v>-0.19849972040144978</v>
      </c>
      <c r="E74">
        <f>LN('SDs by Year for Deciles'!E74)</f>
        <v>-0.16906264592703565</v>
      </c>
      <c r="F74">
        <f>LN('SDs by Year for Deciles'!F74)</f>
        <v>-0.13059399671340113</v>
      </c>
      <c r="G74">
        <f>LN('SDs by Year for Deciles'!G74)</f>
        <v>-0.12627549472123972</v>
      </c>
      <c r="H74">
        <f>LN('SDs by Year for Deciles'!H74)</f>
        <v>-0.17939464438419506</v>
      </c>
      <c r="I74">
        <f>LN('SDs by Year for Deciles'!I74)</f>
        <v>-0.1437606766672285</v>
      </c>
      <c r="J74">
        <f>LN('SDs by Year for Deciles'!J74)</f>
        <v>-4.7889619781277593E-2</v>
      </c>
      <c r="K74">
        <f>LN('SDs by Year for Deciles'!K74)</f>
        <v>0.16210184252909679</v>
      </c>
    </row>
    <row r="75" spans="1:11" x14ac:dyDescent="0.3">
      <c r="A75">
        <v>1998</v>
      </c>
      <c r="B75">
        <f>LN('SDs by Year for Deciles'!B75)</f>
        <v>-5.6284678011233616E-2</v>
      </c>
      <c r="C75">
        <f>LN('SDs by Year for Deciles'!C75)</f>
        <v>0.13889199886661865</v>
      </c>
      <c r="D75">
        <f>LN('SDs by Year for Deciles'!D75)</f>
        <v>0.21626394096931148</v>
      </c>
      <c r="E75">
        <f>LN('SDs by Year for Deciles'!E75)</f>
        <v>0.26796394158567727</v>
      </c>
      <c r="F75">
        <f>LN('SDs by Year for Deciles'!F75)</f>
        <v>0.31086867352710612</v>
      </c>
      <c r="G75">
        <f>LN('SDs by Year for Deciles'!G75)</f>
        <v>0.30419252176626521</v>
      </c>
      <c r="H75">
        <f>LN('SDs by Year for Deciles'!H75)</f>
        <v>0.19472761575167977</v>
      </c>
      <c r="I75">
        <f>LN('SDs by Year for Deciles'!I75)</f>
        <v>0.18533368245191328</v>
      </c>
      <c r="J75">
        <f>LN('SDs by Year for Deciles'!J75)</f>
        <v>0.18698566292083144</v>
      </c>
      <c r="K75">
        <f>LN('SDs by Year for Deciles'!K75)</f>
        <v>0.27154506854163057</v>
      </c>
    </row>
    <row r="76" spans="1:11" x14ac:dyDescent="0.3">
      <c r="A76">
        <v>1999</v>
      </c>
      <c r="B76">
        <f>LN('SDs by Year for Deciles'!B76)</f>
        <v>-0.43266314415236662</v>
      </c>
      <c r="C76">
        <f>LN('SDs by Year for Deciles'!C76)</f>
        <v>-0.15575129345941235</v>
      </c>
      <c r="D76">
        <f>LN('SDs by Year for Deciles'!D76)</f>
        <v>-0.12482993180833976</v>
      </c>
      <c r="E76">
        <f>LN('SDs by Year for Deciles'!E76)</f>
        <v>-0.125193676753491</v>
      </c>
      <c r="F76">
        <f>LN('SDs by Year for Deciles'!F76)</f>
        <v>8.133110809837274E-2</v>
      </c>
      <c r="G76">
        <f>LN('SDs by Year for Deciles'!G76)</f>
        <v>6.3497972987496638E-3</v>
      </c>
      <c r="H76">
        <f>LN('SDs by Year for Deciles'!H76)</f>
        <v>-8.7665772878102927E-2</v>
      </c>
      <c r="I76">
        <f>LN('SDs by Year for Deciles'!I76)</f>
        <v>5.1467328195298851E-3</v>
      </c>
      <c r="J76">
        <f>LN('SDs by Year for Deciles'!J76)</f>
        <v>3.6081174570948331E-2</v>
      </c>
      <c r="K76">
        <f>LN('SDs by Year for Deciles'!K76)</f>
        <v>0.17761884971373726</v>
      </c>
    </row>
    <row r="77" spans="1:11" x14ac:dyDescent="0.3">
      <c r="A77">
        <v>2000</v>
      </c>
      <c r="B77">
        <f>LN('SDs by Year for Deciles'!B77)</f>
        <v>0.53066942668503103</v>
      </c>
      <c r="C77">
        <f>LN('SDs by Year for Deciles'!C77)</f>
        <v>0.53986195944856175</v>
      </c>
      <c r="D77">
        <f>LN('SDs by Year for Deciles'!D77)</f>
        <v>0.54776296277279923</v>
      </c>
      <c r="E77">
        <f>LN('SDs by Year for Deciles'!E77)</f>
        <v>0.60141558996035249</v>
      </c>
      <c r="F77">
        <f>LN('SDs by Year for Deciles'!F77)</f>
        <v>0.64843220153251735</v>
      </c>
      <c r="G77">
        <f>LN('SDs by Year for Deciles'!G77)</f>
        <v>0.58967377208366922</v>
      </c>
      <c r="H77">
        <f>LN('SDs by Year for Deciles'!H77)</f>
        <v>0.64579348417647497</v>
      </c>
      <c r="I77">
        <f>LN('SDs by Year for Deciles'!I77)</f>
        <v>0.6447759286345256</v>
      </c>
      <c r="J77">
        <f>LN('SDs by Year for Deciles'!J77)</f>
        <v>0.53374691239037597</v>
      </c>
      <c r="K77">
        <f>LN('SDs by Year for Deciles'!K77)</f>
        <v>0.40682418414579541</v>
      </c>
    </row>
    <row r="78" spans="1:11" x14ac:dyDescent="0.3">
      <c r="A78">
        <v>2001</v>
      </c>
      <c r="B78">
        <f>LN('SDs by Year for Deciles'!B78)</f>
        <v>-0.31175484385006785</v>
      </c>
      <c r="C78">
        <f>LN('SDs by Year for Deciles'!C78)</f>
        <v>9.0023502647588557E-2</v>
      </c>
      <c r="D78">
        <f>LN('SDs by Year for Deciles'!D78)</f>
        <v>0.32347383654983841</v>
      </c>
      <c r="E78">
        <f>LN('SDs by Year for Deciles'!E78)</f>
        <v>0.38473164772125207</v>
      </c>
      <c r="F78">
        <f>LN('SDs by Year for Deciles'!F78)</f>
        <v>0.42137782656821349</v>
      </c>
      <c r="G78">
        <f>LN('SDs by Year for Deciles'!G78)</f>
        <v>0.36287071047574376</v>
      </c>
      <c r="H78">
        <f>LN('SDs by Year for Deciles'!H78)</f>
        <v>0.2823478708610791</v>
      </c>
      <c r="I78">
        <f>LN('SDs by Year for Deciles'!I78)</f>
        <v>0.35654093495993028</v>
      </c>
      <c r="J78">
        <f>LN('SDs by Year for Deciles'!J78)</f>
        <v>0.2581708690773924</v>
      </c>
      <c r="K78">
        <f>LN('SDs by Year for Deciles'!K78)</f>
        <v>0.3623209750655505</v>
      </c>
    </row>
    <row r="79" spans="1:11" x14ac:dyDescent="0.3">
      <c r="A79">
        <v>2002</v>
      </c>
      <c r="B79">
        <f>LN('SDs by Year for Deciles'!B79)</f>
        <v>-0.22505788247744032</v>
      </c>
      <c r="C79">
        <f>LN('SDs by Year for Deciles'!C79)</f>
        <v>0.37262506180177329</v>
      </c>
      <c r="D79">
        <f>LN('SDs by Year for Deciles'!D79)</f>
        <v>0.47858544985835488</v>
      </c>
      <c r="E79">
        <f>LN('SDs by Year for Deciles'!E79)</f>
        <v>0.48304324275353905</v>
      </c>
      <c r="F79">
        <f>LN('SDs by Year for Deciles'!F79)</f>
        <v>0.52976317110602789</v>
      </c>
      <c r="G79">
        <f>LN('SDs by Year for Deciles'!G79)</f>
        <v>0.4372673466561075</v>
      </c>
      <c r="H79">
        <f>LN('SDs by Year for Deciles'!H79)</f>
        <v>0.44479478968314595</v>
      </c>
      <c r="I79">
        <f>LN('SDs by Year for Deciles'!I79)</f>
        <v>0.48896644321308536</v>
      </c>
      <c r="J79">
        <f>LN('SDs by Year for Deciles'!J79)</f>
        <v>0.44021430043498327</v>
      </c>
      <c r="K79">
        <f>LN('SDs by Year for Deciles'!K79)</f>
        <v>0.50370432741836924</v>
      </c>
    </row>
    <row r="80" spans="1:11" x14ac:dyDescent="0.3">
      <c r="A80">
        <v>2003</v>
      </c>
      <c r="B80">
        <f>LN('SDs by Year for Deciles'!B80)</f>
        <v>-0.3456855491391308</v>
      </c>
      <c r="C80">
        <f>LN('SDs by Year for Deciles'!C80)</f>
        <v>0.20491440544658912</v>
      </c>
      <c r="D80">
        <f>LN('SDs by Year for Deciles'!D80)</f>
        <v>0.20442545570088086</v>
      </c>
      <c r="E80">
        <f>LN('SDs by Year for Deciles'!E80)</f>
        <v>0.1757500114109157</v>
      </c>
      <c r="F80">
        <f>LN('SDs by Year for Deciles'!F80)</f>
        <v>0.2005870556007992</v>
      </c>
      <c r="G80">
        <f>LN('SDs by Year for Deciles'!G80)</f>
        <v>2.5433801256810135E-2</v>
      </c>
      <c r="H80">
        <f>LN('SDs by Year for Deciles'!H80)</f>
        <v>4.2149113508158281E-2</v>
      </c>
      <c r="I80">
        <f>LN('SDs by Year for Deciles'!I80)</f>
        <v>0.10074990310014315</v>
      </c>
      <c r="J80">
        <f>LN('SDs by Year for Deciles'!J80)</f>
        <v>2.8568020317057383E-2</v>
      </c>
      <c r="K80">
        <f>LN('SDs by Year for Deciles'!K80)</f>
        <v>4.5374814687990289E-2</v>
      </c>
    </row>
    <row r="81" spans="1:11" x14ac:dyDescent="0.3">
      <c r="A81">
        <v>2004</v>
      </c>
      <c r="B81">
        <f>LN('SDs by Year for Deciles'!B81)</f>
        <v>-0.2150935397760764</v>
      </c>
      <c r="C81">
        <f>LN('SDs by Year for Deciles'!C81)</f>
        <v>0.20904462693470807</v>
      </c>
      <c r="D81">
        <f>LN('SDs by Year for Deciles'!D81)</f>
        <v>0.16434426256329229</v>
      </c>
      <c r="E81">
        <f>LN('SDs by Year for Deciles'!E81)</f>
        <v>0.12301377589514426</v>
      </c>
      <c r="F81">
        <f>LN('SDs by Year for Deciles'!F81)</f>
        <v>5.2744241254859707E-2</v>
      </c>
      <c r="G81">
        <f>LN('SDs by Year for Deciles'!G81)</f>
        <v>-0.13593427724083296</v>
      </c>
      <c r="H81">
        <f>LN('SDs by Year for Deciles'!H81)</f>
        <v>-0.19322922975287674</v>
      </c>
      <c r="I81">
        <f>LN('SDs by Year for Deciles'!I81)</f>
        <v>-0.18280567395976172</v>
      </c>
      <c r="J81">
        <f>LN('SDs by Year for Deciles'!J81)</f>
        <v>-0.31575512563195124</v>
      </c>
      <c r="K81">
        <f>LN('SDs by Year for Deciles'!K81)</f>
        <v>-0.39279521130236544</v>
      </c>
    </row>
    <row r="82" spans="1:11" x14ac:dyDescent="0.3">
      <c r="A82">
        <v>2005</v>
      </c>
      <c r="B82">
        <f>LN('SDs by Year for Deciles'!B82)</f>
        <v>-0.45525059244441685</v>
      </c>
      <c r="C82">
        <f>LN('SDs by Year for Deciles'!C82)</f>
        <v>4.3902046287128751E-2</v>
      </c>
      <c r="D82">
        <f>LN('SDs by Year for Deciles'!D82)</f>
        <v>6.0888116510423473E-2</v>
      </c>
      <c r="E82">
        <f>LN('SDs by Year for Deciles'!E82)</f>
        <v>8.6921138875056189E-3</v>
      </c>
      <c r="F82">
        <f>LN('SDs by Year for Deciles'!F82)</f>
        <v>-5.8859742632313708E-2</v>
      </c>
      <c r="G82">
        <f>LN('SDs by Year for Deciles'!G82)</f>
        <v>-0.28675450277757325</v>
      </c>
      <c r="H82">
        <f>LN('SDs by Year for Deciles'!H82)</f>
        <v>-0.33422456452974331</v>
      </c>
      <c r="I82">
        <f>LN('SDs by Year for Deciles'!I82)</f>
        <v>-0.31434505828652137</v>
      </c>
      <c r="J82">
        <f>LN('SDs by Year for Deciles'!J82)</f>
        <v>-0.30907596513945346</v>
      </c>
      <c r="K82">
        <f>LN('SDs by Year for Deciles'!K82)</f>
        <v>-0.4848216762292904</v>
      </c>
    </row>
    <row r="83" spans="1:11" x14ac:dyDescent="0.3">
      <c r="A83">
        <v>2006</v>
      </c>
      <c r="B83">
        <f>LN('SDs by Year for Deciles'!B83)</f>
        <v>-0.25450522775722373</v>
      </c>
      <c r="C83">
        <f>LN('SDs by Year for Deciles'!C83)</f>
        <v>0.13486300563425319</v>
      </c>
      <c r="D83">
        <f>LN('SDs by Year for Deciles'!D83)</f>
        <v>0.10834306343697876</v>
      </c>
      <c r="E83">
        <f>LN('SDs by Year for Deciles'!E83)</f>
        <v>5.9494571785639667E-2</v>
      </c>
      <c r="F83">
        <f>LN('SDs by Year for Deciles'!F83)</f>
        <v>4.0930788601964328E-2</v>
      </c>
      <c r="G83">
        <f>LN('SDs by Year for Deciles'!G83)</f>
        <v>-0.24952089476698913</v>
      </c>
      <c r="H83">
        <f>LN('SDs by Year for Deciles'!H83)</f>
        <v>-0.2749224899236174</v>
      </c>
      <c r="I83">
        <f>LN('SDs by Year for Deciles'!I83)</f>
        <v>-0.25563575176446651</v>
      </c>
      <c r="J83">
        <f>LN('SDs by Year for Deciles'!J83)</f>
        <v>-0.3396268070506131</v>
      </c>
      <c r="K83">
        <f>LN('SDs by Year for Deciles'!K83)</f>
        <v>-0.51787709371275892</v>
      </c>
    </row>
    <row r="84" spans="1:11" x14ac:dyDescent="0.3">
      <c r="A84">
        <v>2007</v>
      </c>
      <c r="B84">
        <f>LN('SDs by Year for Deciles'!B84)</f>
        <v>-7.8032895366691932E-2</v>
      </c>
      <c r="C84">
        <f>LN('SDs by Year for Deciles'!C84)</f>
        <v>0.28162375786781696</v>
      </c>
      <c r="D84">
        <f>LN('SDs by Year for Deciles'!D84)</f>
        <v>0.24567969405249993</v>
      </c>
      <c r="E84">
        <f>LN('SDs by Year for Deciles'!E84)</f>
        <v>0.19124826161047553</v>
      </c>
      <c r="F84">
        <f>LN('SDs by Year for Deciles'!F84)</f>
        <v>0.121137403468957</v>
      </c>
      <c r="G84">
        <f>LN('SDs by Year for Deciles'!G84)</f>
        <v>-1.8096364047106401E-3</v>
      </c>
      <c r="H84">
        <f>LN('SDs by Year for Deciles'!H84)</f>
        <v>-2.5556810902186297E-2</v>
      </c>
      <c r="I84">
        <f>LN('SDs by Year for Deciles'!I84)</f>
        <v>6.8663724172773949E-3</v>
      </c>
      <c r="J84">
        <f>LN('SDs by Year for Deciles'!J84)</f>
        <v>4.6224972113833467E-2</v>
      </c>
      <c r="K84">
        <f>LN('SDs by Year for Deciles'!K84)</f>
        <v>-2.4361342466378402E-2</v>
      </c>
    </row>
    <row r="85" spans="1:11" x14ac:dyDescent="0.3">
      <c r="A85">
        <v>2008</v>
      </c>
      <c r="B85">
        <f>LN('SDs by Year for Deciles'!B85)</f>
        <v>0.76715014720078134</v>
      </c>
      <c r="C85">
        <f>LN('SDs by Year for Deciles'!C85)</f>
        <v>1.0973147806017989</v>
      </c>
      <c r="D85">
        <f>LN('SDs by Year for Deciles'!D85)</f>
        <v>1.0297372673794081</v>
      </c>
      <c r="E85">
        <f>LN('SDs by Year for Deciles'!E85)</f>
        <v>1.0020499919591552</v>
      </c>
      <c r="F85">
        <f>LN('SDs by Year for Deciles'!F85)</f>
        <v>0.99354062017881206</v>
      </c>
      <c r="G85">
        <f>LN('SDs by Year for Deciles'!G85)</f>
        <v>0.92486189428982146</v>
      </c>
      <c r="H85">
        <f>LN('SDs by Year for Deciles'!H85)</f>
        <v>0.94118625070693085</v>
      </c>
      <c r="I85">
        <f>LN('SDs by Year for Deciles'!I85)</f>
        <v>0.97395945992609845</v>
      </c>
      <c r="J85">
        <f>LN('SDs by Year for Deciles'!J85)</f>
        <v>0.96092369541840528</v>
      </c>
      <c r="K85">
        <f>LN('SDs by Year for Deciles'!K85)</f>
        <v>0.88843431974392306</v>
      </c>
    </row>
    <row r="86" spans="1:11" x14ac:dyDescent="0.3">
      <c r="A86">
        <v>2009</v>
      </c>
      <c r="B86">
        <f>LN('SDs by Year for Deciles'!B86)</f>
        <v>0.6261790436281528</v>
      </c>
      <c r="C86">
        <f>LN('SDs by Year for Deciles'!C86)</f>
        <v>0.95228702138713761</v>
      </c>
      <c r="D86">
        <f>LN('SDs by Year for Deciles'!D86)</f>
        <v>0.832326344457058</v>
      </c>
      <c r="E86">
        <f>LN('SDs by Year for Deciles'!E86)</f>
        <v>0.78602258051014406</v>
      </c>
      <c r="F86">
        <f>LN('SDs by Year for Deciles'!F86)</f>
        <v>0.76195470153721889</v>
      </c>
      <c r="G86">
        <f>LN('SDs by Year for Deciles'!G86)</f>
        <v>0.64096928450136503</v>
      </c>
      <c r="H86">
        <f>LN('SDs by Year for Deciles'!H86)</f>
        <v>0.6464538165677608</v>
      </c>
      <c r="I86">
        <f>LN('SDs by Year for Deciles'!I86)</f>
        <v>0.64667906833995159</v>
      </c>
      <c r="J86">
        <f>LN('SDs by Year for Deciles'!J86)</f>
        <v>0.60467109504467886</v>
      </c>
      <c r="K86">
        <f>LN('SDs by Year for Deciles'!K86)</f>
        <v>0.45700703824995048</v>
      </c>
    </row>
    <row r="87" spans="1:11" x14ac:dyDescent="0.3">
      <c r="A87">
        <v>2010</v>
      </c>
      <c r="B87">
        <f>LN('SDs by Year for Deciles'!B87)</f>
        <v>0.32982159864587302</v>
      </c>
      <c r="C87">
        <f>LN('SDs by Year for Deciles'!C87)</f>
        <v>0.56354520052908474</v>
      </c>
      <c r="D87">
        <f>LN('SDs by Year for Deciles'!D87)</f>
        <v>0.49992037712583343</v>
      </c>
      <c r="E87">
        <f>LN('SDs by Year for Deciles'!E87)</f>
        <v>0.43674411280063002</v>
      </c>
      <c r="F87">
        <f>LN('SDs by Year for Deciles'!F87)</f>
        <v>0.41164596718324553</v>
      </c>
      <c r="G87">
        <f>LN('SDs by Year for Deciles'!G87)</f>
        <v>0.31843918555820305</v>
      </c>
      <c r="H87">
        <f>LN('SDs by Year for Deciles'!H87)</f>
        <v>0.2688661581941405</v>
      </c>
      <c r="I87">
        <f>LN('SDs by Year for Deciles'!I87)</f>
        <v>0.27205561281576479</v>
      </c>
      <c r="J87">
        <f>LN('SDs by Year for Deciles'!J87)</f>
        <v>0.21459511734425032</v>
      </c>
      <c r="K87">
        <f>LN('SDs by Year for Deciles'!K87)</f>
        <v>6.2467628318475174E-2</v>
      </c>
    </row>
    <row r="88" spans="1:11" x14ac:dyDescent="0.3">
      <c r="A88">
        <v>2011</v>
      </c>
      <c r="B88">
        <f>LN('SDs by Year for Deciles'!B88)</f>
        <v>0.55836357567336936</v>
      </c>
      <c r="C88">
        <f>LN('SDs by Year for Deciles'!C88)</f>
        <v>0.80784546325440454</v>
      </c>
      <c r="D88">
        <f>LN('SDs by Year for Deciles'!D88)</f>
        <v>0.75033531618041971</v>
      </c>
      <c r="E88">
        <f>LN('SDs by Year for Deciles'!E88)</f>
        <v>0.72136527863392985</v>
      </c>
      <c r="F88">
        <f>LN('SDs by Year for Deciles'!F88)</f>
        <v>0.67714482308243951</v>
      </c>
      <c r="G88">
        <f>LN('SDs by Year for Deciles'!G88)</f>
        <v>0.6347073578309006</v>
      </c>
      <c r="H88">
        <f>LN('SDs by Year for Deciles'!H88)</f>
        <v>0.58052704417285883</v>
      </c>
      <c r="I88">
        <f>LN('SDs by Year for Deciles'!I88)</f>
        <v>0.52466935558664085</v>
      </c>
      <c r="J88">
        <f>LN('SDs by Year for Deciles'!J88)</f>
        <v>0.44779636312160254</v>
      </c>
      <c r="K88">
        <f>LN('SDs by Year for Deciles'!K88)</f>
        <v>0.34333435264165785</v>
      </c>
    </row>
    <row r="89" spans="1:11" x14ac:dyDescent="0.3">
      <c r="A89">
        <v>2012</v>
      </c>
      <c r="B89">
        <f>LN('SDs by Year for Deciles'!B89)</f>
        <v>-3.4445492688223001E-2</v>
      </c>
      <c r="C89">
        <f>LN('SDs by Year for Deciles'!C89)</f>
        <v>0.18409498334309626</v>
      </c>
      <c r="D89">
        <f>LN('SDs by Year for Deciles'!D89)</f>
        <v>0.13016824357339396</v>
      </c>
      <c r="E89">
        <f>LN('SDs by Year for Deciles'!E89)</f>
        <v>6.4729127970934483E-2</v>
      </c>
      <c r="F89">
        <f>LN('SDs by Year for Deciles'!F89)</f>
        <v>4.2590030622885112E-2</v>
      </c>
      <c r="G89">
        <f>LN('SDs by Year for Deciles'!G89)</f>
        <v>1.8281863678012478E-2</v>
      </c>
      <c r="H89">
        <f>LN('SDs by Year for Deciles'!H89)</f>
        <v>-1.0705728586756619E-3</v>
      </c>
      <c r="I89">
        <f>LN('SDs by Year for Deciles'!I89)</f>
        <v>-4.5600057973354625E-2</v>
      </c>
      <c r="J89">
        <f>LN('SDs by Year for Deciles'!J89)</f>
        <v>-0.16771239220912909</v>
      </c>
      <c r="K89">
        <f>LN('SDs by Year for Deciles'!K89)</f>
        <v>-0.25314023691267939</v>
      </c>
    </row>
    <row r="90" spans="1:11" x14ac:dyDescent="0.3">
      <c r="A90">
        <v>2013</v>
      </c>
      <c r="B90">
        <f>LN('SDs by Year for Deciles'!B90)</f>
        <v>-0.18766661620690314</v>
      </c>
      <c r="C90">
        <f>LN('SDs by Year for Deciles'!C90)</f>
        <v>-2.1634343865151645E-2</v>
      </c>
      <c r="D90">
        <f>LN('SDs by Year for Deciles'!D90)</f>
        <v>-2.180092255889552E-2</v>
      </c>
      <c r="E90">
        <f>LN('SDs by Year for Deciles'!E90)</f>
        <v>-8.2705750426356195E-2</v>
      </c>
      <c r="F90">
        <f>LN('SDs by Year for Deciles'!F90)</f>
        <v>-0.11946845517825723</v>
      </c>
      <c r="G90">
        <f>LN('SDs by Year for Deciles'!G90)</f>
        <v>-0.1443358366999925</v>
      </c>
      <c r="H90">
        <f>LN('SDs by Year for Deciles'!H90)</f>
        <v>-0.19311519913431913</v>
      </c>
      <c r="I90">
        <f>LN('SDs by Year for Deciles'!I90)</f>
        <v>-0.20802466976791001</v>
      </c>
      <c r="J90">
        <f>LN('SDs by Year for Deciles'!J90)</f>
        <v>-0.31240518550728685</v>
      </c>
      <c r="K90">
        <f>LN('SDs by Year for Deciles'!K90)</f>
        <v>-0.41298531410804068</v>
      </c>
    </row>
    <row r="91" spans="1:11" x14ac:dyDescent="0.3">
      <c r="A91">
        <v>2014</v>
      </c>
      <c r="B91">
        <f>LN('SDs by Year for Deciles'!B91)</f>
        <v>2.1565777914560585E-2</v>
      </c>
      <c r="C91">
        <f>LN('SDs by Year for Deciles'!C91)</f>
        <v>0.16823108403526271</v>
      </c>
      <c r="D91">
        <f>LN('SDs by Year for Deciles'!D91)</f>
        <v>0.1292723357041391</v>
      </c>
      <c r="E91">
        <f>LN('SDs by Year for Deciles'!E91)</f>
        <v>5.3341694981823208E-2</v>
      </c>
      <c r="F91">
        <f>LN('SDs by Year for Deciles'!F91)</f>
        <v>-5.6143987368040084E-2</v>
      </c>
      <c r="G91">
        <f>LN('SDs by Year for Deciles'!G91)</f>
        <v>-6.0356345305796262E-2</v>
      </c>
      <c r="H91">
        <f>LN('SDs by Year for Deciles'!H91)</f>
        <v>-0.11393270769180056</v>
      </c>
      <c r="I91">
        <f>LN('SDs by Year for Deciles'!I91)</f>
        <v>-0.2193681869792265</v>
      </c>
      <c r="J91">
        <f>LN('SDs by Year for Deciles'!J91)</f>
        <v>-0.27776078492465661</v>
      </c>
      <c r="K91">
        <f>LN('SDs by Year for Deciles'!K91)</f>
        <v>-0.33483797275816757</v>
      </c>
    </row>
    <row r="92" spans="1:11" x14ac:dyDescent="0.3">
      <c r="A92">
        <v>2015</v>
      </c>
      <c r="B92">
        <f>LN('SDs by Year for Deciles'!B92)</f>
        <v>-6.2813077239083442E-2</v>
      </c>
      <c r="C92">
        <f>LN('SDs by Year for Deciles'!C92)</f>
        <v>0.14355474061385484</v>
      </c>
      <c r="D92">
        <f>LN('SDs by Year for Deciles'!D92)</f>
        <v>0.11047640714061063</v>
      </c>
      <c r="E92">
        <f>LN('SDs by Year for Deciles'!E92)</f>
        <v>8.6260261639775446E-2</v>
      </c>
      <c r="F92">
        <f>LN('SDs by Year for Deciles'!F92)</f>
        <v>5.4118798887495961E-2</v>
      </c>
      <c r="G92">
        <f>LN('SDs by Year for Deciles'!G92)</f>
        <v>1.1543121094983403E-2</v>
      </c>
      <c r="H92">
        <f>LN('SDs by Year for Deciles'!H92)</f>
        <v>-3.766863824492539E-2</v>
      </c>
      <c r="I92">
        <f>LN('SDs by Year for Deciles'!I92)</f>
        <v>-8.5736743444254069E-4</v>
      </c>
      <c r="J92">
        <f>LN('SDs by Year for Deciles'!J92)</f>
        <v>-6.1001317757442768E-2</v>
      </c>
      <c r="K92">
        <f>LN('SDs by Year for Deciles'!K92)</f>
        <v>-1.034027687223559E-2</v>
      </c>
    </row>
    <row r="93" spans="1:11" x14ac:dyDescent="0.3">
      <c r="A93">
        <v>2016</v>
      </c>
      <c r="B93">
        <f>LN('SDs by Year for Deciles'!B93)</f>
        <v>-4.7844271401595966E-3</v>
      </c>
      <c r="C93">
        <f>LN('SDs by Year for Deciles'!C93)</f>
        <v>0.22839374489633771</v>
      </c>
      <c r="D93">
        <f>LN('SDs by Year for Deciles'!D93)</f>
        <v>0.20013691666395611</v>
      </c>
      <c r="E93">
        <f>LN('SDs by Year for Deciles'!E93)</f>
        <v>0.20910142045377147</v>
      </c>
      <c r="F93">
        <f>LN('SDs by Year for Deciles'!F93)</f>
        <v>0.17088136665139889</v>
      </c>
      <c r="G93">
        <f>LN('SDs by Year for Deciles'!G93)</f>
        <v>0.1069063202859943</v>
      </c>
      <c r="H93">
        <f>LN('SDs by Year for Deciles'!H93)</f>
        <v>3.8008440185706129E-2</v>
      </c>
      <c r="I93">
        <f>LN('SDs by Year for Deciles'!I93)</f>
        <v>1.3695783128986515E-2</v>
      </c>
      <c r="J93">
        <f>LN('SDs by Year for Deciles'!J93)</f>
        <v>-9.6602314250594221E-2</v>
      </c>
      <c r="K93">
        <f>LN('SDs by Year for Deciles'!K93)</f>
        <v>-0.21587379017803032</v>
      </c>
    </row>
    <row r="94" spans="1:11" x14ac:dyDescent="0.3">
      <c r="A94">
        <v>2017</v>
      </c>
      <c r="B94">
        <f>LN('SDs by Year for Deciles'!B94)</f>
        <v>-0.28549247137878858</v>
      </c>
      <c r="C94">
        <f>LN('SDs by Year for Deciles'!C94)</f>
        <v>-0.12412434935361898</v>
      </c>
      <c r="D94">
        <f>LN('SDs by Year for Deciles'!D94)</f>
        <v>-0.18293534512347795</v>
      </c>
      <c r="E94">
        <f>LN('SDs by Year for Deciles'!E94)</f>
        <v>-0.20810470380088608</v>
      </c>
      <c r="F94">
        <f>LN('SDs by Year for Deciles'!F94)</f>
        <v>-0.25371487848615742</v>
      </c>
      <c r="G94">
        <f>LN('SDs by Year for Deciles'!G94)</f>
        <v>-0.34173566418530971</v>
      </c>
      <c r="H94">
        <f>LN('SDs by Year for Deciles'!H94)</f>
        <v>-0.48930225557174439</v>
      </c>
      <c r="I94">
        <f>LN('SDs by Year for Deciles'!I94)</f>
        <v>-0.60625781101292087</v>
      </c>
      <c r="J94">
        <f>LN('SDs by Year for Deciles'!J94)</f>
        <v>-0.72226090186470637</v>
      </c>
      <c r="K94">
        <f>LN('SDs by Year for Deciles'!K94)</f>
        <v>-0.8743837261914571</v>
      </c>
    </row>
    <row r="95" spans="1:11" x14ac:dyDescent="0.3">
      <c r="A95">
        <v>2018</v>
      </c>
      <c r="B95">
        <f>LN('SDs by Year for Deciles'!B95)</f>
        <v>-9.8543954551155253E-3</v>
      </c>
      <c r="C95">
        <f>LN('SDs by Year for Deciles'!C95)</f>
        <v>0.15506169329986921</v>
      </c>
      <c r="D95">
        <f>LN('SDs by Year for Deciles'!D95)</f>
        <v>0.17899101669749873</v>
      </c>
      <c r="E95">
        <f>LN('SDs by Year for Deciles'!E95)</f>
        <v>0.17291074703976736</v>
      </c>
      <c r="F95">
        <f>LN('SDs by Year for Deciles'!F95)</f>
        <v>0.16877183924687161</v>
      </c>
      <c r="G95">
        <f>LN('SDs by Year for Deciles'!G95)</f>
        <v>0.13474940055161441</v>
      </c>
      <c r="H95">
        <f>LN('SDs by Year for Deciles'!H95)</f>
        <v>0.10116572983294572</v>
      </c>
      <c r="I95">
        <f>LN('SDs by Year for Deciles'!I95)</f>
        <v>6.5075876736187657E-2</v>
      </c>
      <c r="J95">
        <f>LN('SDs by Year for Deciles'!J95)</f>
        <v>1.7053754565827622E-2</v>
      </c>
      <c r="K95">
        <f>LN('SDs by Year for Deciles'!K95)</f>
        <v>0.11271242402845112</v>
      </c>
    </row>
    <row r="96" spans="1:11" x14ac:dyDescent="0.3">
      <c r="A96">
        <v>2019</v>
      </c>
      <c r="B96">
        <f>LN('SDs by Year for Deciles'!B96)</f>
        <v>-6.3753762474548378E-2</v>
      </c>
      <c r="C96">
        <f>LN('SDs by Year for Deciles'!C96)</f>
        <v>0.11060175632779577</v>
      </c>
      <c r="D96">
        <f>LN('SDs by Year for Deciles'!D96)</f>
        <v>0.10089455809822551</v>
      </c>
      <c r="E96">
        <f>LN('SDs by Year for Deciles'!E96)</f>
        <v>7.5543370048507613E-2</v>
      </c>
      <c r="F96">
        <f>LN('SDs by Year for Deciles'!F96)</f>
        <v>4.6501833651419862E-2</v>
      </c>
      <c r="G96">
        <f>LN('SDs by Year for Deciles'!G96)</f>
        <v>2.4438921877018138E-2</v>
      </c>
      <c r="H96">
        <f>LN('SDs by Year for Deciles'!H96)</f>
        <v>-3.121825837756036E-2</v>
      </c>
      <c r="I96">
        <f>LN('SDs by Year for Deciles'!I96)</f>
        <v>-0.15915752652464127</v>
      </c>
      <c r="J96">
        <f>LN('SDs by Year for Deciles'!J96)</f>
        <v>-0.2017649606186121</v>
      </c>
      <c r="K96">
        <f>LN('SDs by Year for Deciles'!K96)</f>
        <v>-0.21005211928472775</v>
      </c>
    </row>
    <row r="97" spans="1:11" x14ac:dyDescent="0.3">
      <c r="A97">
        <v>2020</v>
      </c>
      <c r="B97">
        <f>LN('SDs by Year for Deciles'!B97)</f>
        <v>0.85715624924863132</v>
      </c>
      <c r="C97">
        <f>LN('SDs by Year for Deciles'!C97)</f>
        <v>0.96301399957921918</v>
      </c>
      <c r="D97">
        <f>LN('SDs by Year for Deciles'!D97)</f>
        <v>0.96587676972828007</v>
      </c>
      <c r="E97">
        <f>LN('SDs by Year for Deciles'!E97)</f>
        <v>0.92821139756984317</v>
      </c>
      <c r="F97">
        <f>LN('SDs by Year for Deciles'!F97)</f>
        <v>0.9204221856536039</v>
      </c>
      <c r="G97">
        <f>LN('SDs by Year for Deciles'!G97)</f>
        <v>0.86511953529552166</v>
      </c>
      <c r="H97">
        <f>LN('SDs by Year for Deciles'!H97)</f>
        <v>0.76120761746485543</v>
      </c>
      <c r="I97">
        <f>LN('SDs by Year for Deciles'!I97)</f>
        <v>0.69966092002225411</v>
      </c>
      <c r="J97">
        <f>LN('SDs by Year for Deciles'!J97)</f>
        <v>0.72343387316481766</v>
      </c>
      <c r="K97">
        <f>LN('SDs by Year for Deciles'!K97)</f>
        <v>0.63076100812384961</v>
      </c>
    </row>
    <row r="98" spans="1:11" x14ac:dyDescent="0.3">
      <c r="A98">
        <v>2021</v>
      </c>
      <c r="B98">
        <f>LN('SDs by Year for Deciles'!B98)</f>
        <v>0.50388559739632766</v>
      </c>
      <c r="C98">
        <f>LN('SDs by Year for Deciles'!C98)</f>
        <v>0.50590754984202291</v>
      </c>
      <c r="D98">
        <f>LN('SDs by Year for Deciles'!D98)</f>
        <v>0.44324889193691597</v>
      </c>
      <c r="E98">
        <f>LN('SDs by Year for Deciles'!E98)</f>
        <v>0.34274537641430347</v>
      </c>
      <c r="F98">
        <f>LN('SDs by Year for Deciles'!F98)</f>
        <v>0.30140004927997721</v>
      </c>
      <c r="G98">
        <f>LN('SDs by Year for Deciles'!G98)</f>
        <v>0.22031555630316293</v>
      </c>
      <c r="H98">
        <f>LN('SDs by Year for Deciles'!H98)</f>
        <v>0.17100779689368129</v>
      </c>
      <c r="I98">
        <f>LN('SDs by Year for Deciles'!I98)</f>
        <v>6.8663724172773949E-3</v>
      </c>
      <c r="J98">
        <f>LN('SDs by Year for Deciles'!J98)</f>
        <v>-9.5304579820004787E-2</v>
      </c>
      <c r="K98">
        <f>LN('SDs by Year for Deciles'!K98)</f>
        <v>-0.16802701234930556</v>
      </c>
    </row>
    <row r="99" spans="1:11" x14ac:dyDescent="0.3">
      <c r="A99">
        <v>2022</v>
      </c>
      <c r="B99">
        <f>LN('SDs by Year for Deciles'!B99)</f>
        <v>0.26014642225725998</v>
      </c>
      <c r="C99">
        <f>LN('SDs by Year for Deciles'!C99)</f>
        <v>0.57594460140608594</v>
      </c>
      <c r="D99">
        <f>LN('SDs by Year for Deciles'!D99)</f>
        <v>0.60931438289404538</v>
      </c>
      <c r="E99">
        <f>LN('SDs by Year for Deciles'!E99)</f>
        <v>0.60469294496847803</v>
      </c>
      <c r="F99">
        <f>LN('SDs by Year for Deciles'!F99)</f>
        <v>0.56963400898753513</v>
      </c>
      <c r="G99">
        <f>LN('SDs by Year for Deciles'!G99)</f>
        <v>0.60993403569089544</v>
      </c>
      <c r="H99">
        <f>LN('SDs by Year for Deciles'!H99)</f>
        <v>0.55367244693640427</v>
      </c>
      <c r="I99">
        <f>LN('SDs by Year for Deciles'!I99)</f>
        <v>0.50505098257325265</v>
      </c>
      <c r="J99">
        <f>LN('SDs by Year for Deciles'!J99)</f>
        <v>0.46878413596597812</v>
      </c>
      <c r="K99">
        <f>LN('SDs by Year for Deciles'!K99)</f>
        <v>0.4543251111086497</v>
      </c>
    </row>
    <row r="100" spans="1:11" x14ac:dyDescent="0.3">
      <c r="A100">
        <v>2023</v>
      </c>
      <c r="B100">
        <f>LN('SDs by Year for Deciles'!B100)</f>
        <v>0.13373512187031039</v>
      </c>
      <c r="C100">
        <f>LN('SDs by Year for Deciles'!C100)</f>
        <v>0.36437918987422074</v>
      </c>
      <c r="D100">
        <f>LN('SDs by Year for Deciles'!D100)</f>
        <v>0.31711465313548659</v>
      </c>
      <c r="E100">
        <f>LN('SDs by Year for Deciles'!E100)</f>
        <v>0.28129924548255775</v>
      </c>
      <c r="F100">
        <f>LN('SDs by Year for Deciles'!F100)</f>
        <v>0.254006357342068</v>
      </c>
      <c r="G100">
        <f>LN('SDs by Year for Deciles'!G100)</f>
        <v>0.15802886422491008</v>
      </c>
      <c r="H100">
        <f>LN('SDs by Year for Deciles'!H100)</f>
        <v>0.13783835433495337</v>
      </c>
      <c r="I100">
        <f>LN('SDs by Year for Deciles'!I100)</f>
        <v>6.5178941024971376E-2</v>
      </c>
      <c r="J100">
        <f>LN('SDs by Year for Deciles'!J100)</f>
        <v>-4.6956396549481506E-2</v>
      </c>
      <c r="K100">
        <f>LN('SDs by Year for Deciles'!K100)</f>
        <v>-0.18030559022077736</v>
      </c>
    </row>
    <row r="101" spans="1:11" x14ac:dyDescent="0.3">
      <c r="A101">
        <v>2024</v>
      </c>
      <c r="B101">
        <f>LN('SDs by Year for Deciles'!B101)</f>
        <v>0.36417077983366009</v>
      </c>
      <c r="C101">
        <f>LN('SDs by Year for Deciles'!C101)</f>
        <v>0.45141950926788976</v>
      </c>
      <c r="D101">
        <f>LN('SDs by Year for Deciles'!D101)</f>
        <v>0.35278840110614901</v>
      </c>
      <c r="E101">
        <f>LN('SDs by Year for Deciles'!E101)</f>
        <v>0.29015900232667352</v>
      </c>
      <c r="F101">
        <f>LN('SDs by Year for Deciles'!F101)</f>
        <v>0.22475824699121125</v>
      </c>
      <c r="G101">
        <f>LN('SDs by Year for Deciles'!G101)</f>
        <v>0.14543278920753538</v>
      </c>
      <c r="H101">
        <f>LN('SDs by Year for Deciles'!H101)</f>
        <v>1.3498484151341713E-2</v>
      </c>
      <c r="I101">
        <f>LN('SDs by Year for Deciles'!I101)</f>
        <v>-0.11734987948206568</v>
      </c>
      <c r="J101">
        <f>LN('SDs by Year for Deciles'!J101)</f>
        <v>-0.23246183195320386</v>
      </c>
      <c r="K101">
        <f>LN('SDs by Year for Deciles'!K101)</f>
        <v>-0.16253775320435157</v>
      </c>
    </row>
    <row r="102" spans="1:11" x14ac:dyDescent="0.3">
      <c r="A102">
        <v>2025</v>
      </c>
      <c r="B102">
        <f>LN('SDs by Year for Deciles'!B102)</f>
        <v>0.53042823105950332</v>
      </c>
      <c r="C102">
        <f>LN('SDs by Year for Deciles'!C102)</f>
        <v>0.47160859060593824</v>
      </c>
      <c r="D102">
        <f>LN('SDs by Year for Deciles'!D102)</f>
        <v>0.42431303145350857</v>
      </c>
      <c r="E102">
        <f>LN('SDs by Year for Deciles'!E102)</f>
        <v>0.40423101359335084</v>
      </c>
      <c r="F102">
        <f>LN('SDs by Year for Deciles'!F102)</f>
        <v>0.38510592596406379</v>
      </c>
      <c r="G102">
        <f>LN('SDs by Year for Deciles'!G102)</f>
        <v>0.37558305362624361</v>
      </c>
      <c r="H102">
        <f>LN('SDs by Year for Deciles'!H102)</f>
        <v>0.30849154564964626</v>
      </c>
      <c r="I102">
        <f>LN('SDs by Year for Deciles'!I102)</f>
        <v>0.24132918570721984</v>
      </c>
      <c r="J102">
        <f>LN('SDs by Year for Deciles'!J102)</f>
        <v>0.11771192201675734</v>
      </c>
      <c r="K102">
        <f>LN('SDs by Year for Deciles'!K102)</f>
        <v>0.21144337036597319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07B66-D2B1-4145-8BD3-6E579C726C68}">
  <dimension ref="A1:K11"/>
  <sheetViews>
    <sheetView workbookViewId="0">
      <selection activeCell="H14" sqref="H14"/>
    </sheetView>
  </sheetViews>
  <sheetFormatPr defaultRowHeight="14.4" x14ac:dyDescent="0.3"/>
  <sheetData>
    <row r="1" spans="1:11" x14ac:dyDescent="0.3">
      <c r="A1" s="5"/>
      <c r="B1" s="5" t="s">
        <v>21</v>
      </c>
      <c r="C1" s="5" t="s">
        <v>22</v>
      </c>
      <c r="D1" s="5" t="s">
        <v>25</v>
      </c>
      <c r="E1" s="5" t="s">
        <v>24</v>
      </c>
      <c r="F1" s="5" t="s">
        <v>26</v>
      </c>
      <c r="G1" s="5" t="s">
        <v>27</v>
      </c>
      <c r="H1" s="5" t="s">
        <v>28</v>
      </c>
      <c r="I1" s="5" t="s">
        <v>29</v>
      </c>
      <c r="J1" s="5" t="s">
        <v>30</v>
      </c>
      <c r="K1" s="5" t="s">
        <v>23</v>
      </c>
    </row>
    <row r="2" spans="1:11" x14ac:dyDescent="0.3">
      <c r="A2" s="3" t="s">
        <v>21</v>
      </c>
      <c r="B2" s="3">
        <v>1</v>
      </c>
      <c r="C2" s="3"/>
      <c r="D2" s="3"/>
      <c r="E2" s="3"/>
      <c r="F2" s="3"/>
      <c r="G2" s="3"/>
      <c r="H2" s="3"/>
      <c r="I2" s="3"/>
      <c r="J2" s="3"/>
      <c r="K2" s="3"/>
    </row>
    <row r="3" spans="1:11" x14ac:dyDescent="0.3">
      <c r="A3" s="3" t="s">
        <v>22</v>
      </c>
      <c r="B3" s="3">
        <v>0.9434295377290387</v>
      </c>
      <c r="C3" s="3">
        <v>1</v>
      </c>
      <c r="D3" s="3"/>
      <c r="E3" s="3"/>
      <c r="F3" s="3"/>
      <c r="G3" s="3"/>
      <c r="H3" s="3"/>
      <c r="I3" s="3"/>
      <c r="J3" s="3"/>
      <c r="K3" s="3"/>
    </row>
    <row r="4" spans="1:11" x14ac:dyDescent="0.3">
      <c r="A4" s="3" t="s">
        <v>25</v>
      </c>
      <c r="B4" s="3">
        <v>0.90766121441708802</v>
      </c>
      <c r="C4" s="3">
        <v>0.98827654901881545</v>
      </c>
      <c r="D4" s="3">
        <v>1</v>
      </c>
      <c r="E4" s="3"/>
      <c r="F4" s="3"/>
      <c r="G4" s="3"/>
      <c r="H4" s="3"/>
      <c r="I4" s="3"/>
      <c r="J4" s="3"/>
      <c r="K4" s="3"/>
    </row>
    <row r="5" spans="1:11" x14ac:dyDescent="0.3">
      <c r="A5" s="3" t="s">
        <v>24</v>
      </c>
      <c r="B5" s="3">
        <v>0.89488956633252825</v>
      </c>
      <c r="C5" s="3">
        <v>0.98035638090367327</v>
      </c>
      <c r="D5" s="3">
        <v>0.99151931055236542</v>
      </c>
      <c r="E5" s="3">
        <v>1</v>
      </c>
      <c r="F5" s="3"/>
      <c r="G5" s="3"/>
      <c r="H5" s="3"/>
      <c r="I5" s="3"/>
      <c r="J5" s="3"/>
      <c r="K5" s="3"/>
    </row>
    <row r="6" spans="1:11" x14ac:dyDescent="0.3">
      <c r="A6" s="3" t="s">
        <v>26</v>
      </c>
      <c r="B6" s="3">
        <v>0.86062136039360704</v>
      </c>
      <c r="C6" s="3">
        <v>0.9587769746155439</v>
      </c>
      <c r="D6" s="3">
        <v>0.98236711648323094</v>
      </c>
      <c r="E6" s="3">
        <v>0.98780223480868556</v>
      </c>
      <c r="F6" s="3">
        <v>1</v>
      </c>
      <c r="G6" s="3"/>
      <c r="H6" s="3"/>
      <c r="I6" s="3"/>
      <c r="J6" s="3"/>
      <c r="K6" s="3"/>
    </row>
    <row r="7" spans="1:11" x14ac:dyDescent="0.3">
      <c r="A7" s="3" t="s">
        <v>27</v>
      </c>
      <c r="B7" s="3">
        <v>0.86951959565771408</v>
      </c>
      <c r="C7" s="3">
        <v>0.94957722239415754</v>
      </c>
      <c r="D7" s="3">
        <v>0.97464871752578275</v>
      </c>
      <c r="E7" s="3">
        <v>0.97368154076968227</v>
      </c>
      <c r="F7" s="3">
        <v>0.98659594338483769</v>
      </c>
      <c r="G7" s="3">
        <v>1</v>
      </c>
      <c r="H7" s="3"/>
      <c r="I7" s="3"/>
      <c r="J7" s="3"/>
      <c r="K7" s="3"/>
    </row>
    <row r="8" spans="1:11" x14ac:dyDescent="0.3">
      <c r="A8" s="3" t="s">
        <v>28</v>
      </c>
      <c r="B8" s="3">
        <v>0.86520913911541453</v>
      </c>
      <c r="C8" s="3">
        <v>0.9404422915044468</v>
      </c>
      <c r="D8" s="3">
        <v>0.96439418698555301</v>
      </c>
      <c r="E8" s="3">
        <v>0.96784034630776061</v>
      </c>
      <c r="F8" s="3">
        <v>0.97950074611325155</v>
      </c>
      <c r="G8" s="3">
        <v>0.99104713039783532</v>
      </c>
      <c r="H8" s="3">
        <v>1</v>
      </c>
      <c r="I8" s="3"/>
      <c r="J8" s="3"/>
      <c r="K8" s="3"/>
    </row>
    <row r="9" spans="1:11" x14ac:dyDescent="0.3">
      <c r="A9" s="3" t="s">
        <v>29</v>
      </c>
      <c r="B9" s="3">
        <v>0.8024068908917309</v>
      </c>
      <c r="C9" s="3">
        <v>0.90071093528061363</v>
      </c>
      <c r="D9" s="3">
        <v>0.93536973762431952</v>
      </c>
      <c r="E9" s="3">
        <v>0.94214352183134964</v>
      </c>
      <c r="F9" s="3">
        <v>0.96673886140942866</v>
      </c>
      <c r="G9" s="3">
        <v>0.97921629462588466</v>
      </c>
      <c r="H9" s="3">
        <v>0.98584462168488374</v>
      </c>
      <c r="I9" s="3">
        <v>1</v>
      </c>
      <c r="J9" s="3"/>
      <c r="K9" s="3"/>
    </row>
    <row r="10" spans="1:11" x14ac:dyDescent="0.3">
      <c r="A10" s="3" t="s">
        <v>30</v>
      </c>
      <c r="B10" s="3">
        <v>0.78249809568921724</v>
      </c>
      <c r="C10" s="3">
        <v>0.87446925430180245</v>
      </c>
      <c r="D10" s="3">
        <v>0.90982825097498699</v>
      </c>
      <c r="E10" s="3">
        <v>0.9177944326785118</v>
      </c>
      <c r="F10" s="3">
        <v>0.94492025405130842</v>
      </c>
      <c r="G10" s="3">
        <v>0.96231349375732211</v>
      </c>
      <c r="H10" s="3">
        <v>0.97513593167598633</v>
      </c>
      <c r="I10" s="3">
        <v>0.98929222308207065</v>
      </c>
      <c r="J10" s="3">
        <v>1</v>
      </c>
      <c r="K10" s="3"/>
    </row>
    <row r="11" spans="1:11" ht="15" thickBot="1" x14ac:dyDescent="0.35">
      <c r="A11" s="4" t="s">
        <v>23</v>
      </c>
      <c r="B11" s="4">
        <v>0.6289296571733064</v>
      </c>
      <c r="C11" s="4">
        <v>0.74097724512644525</v>
      </c>
      <c r="D11" s="4">
        <v>0.7936376236086381</v>
      </c>
      <c r="E11" s="4">
        <v>0.80887257602810791</v>
      </c>
      <c r="F11" s="4">
        <v>0.8564581605635837</v>
      </c>
      <c r="G11" s="4">
        <v>0.87852418679213817</v>
      </c>
      <c r="H11" s="4">
        <v>0.89603977523865175</v>
      </c>
      <c r="I11" s="4">
        <v>0.93660357527545723</v>
      </c>
      <c r="J11" s="4">
        <v>0.95496071029756813</v>
      </c>
      <c r="K11"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E537-EFAE-4235-AA16-E3A07D5D29DE}">
  <dimension ref="B2:E101"/>
  <sheetViews>
    <sheetView topLeftCell="F7" workbookViewId="0">
      <selection activeCell="Q16" sqref="Q16"/>
    </sheetView>
  </sheetViews>
  <sheetFormatPr defaultRowHeight="14.4" x14ac:dyDescent="0.3"/>
  <cols>
    <col min="1" max="1" width="7" customWidth="1"/>
    <col min="2" max="2" width="16.44140625" customWidth="1"/>
    <col min="4" max="4" width="15" customWidth="1"/>
    <col min="5" max="5" width="17.88671875" customWidth="1"/>
  </cols>
  <sheetData>
    <row r="2" spans="2:5" x14ac:dyDescent="0.3">
      <c r="B2" t="s">
        <v>8</v>
      </c>
      <c r="C2" t="s">
        <v>4</v>
      </c>
      <c r="D2" t="s">
        <v>5</v>
      </c>
      <c r="E2" t="s">
        <v>6</v>
      </c>
    </row>
    <row r="3" spans="2:5" x14ac:dyDescent="0.3">
      <c r="B3">
        <f>LNs!B41</f>
        <v>-1.1478193397228051</v>
      </c>
      <c r="C3">
        <f>ROW()-2</f>
        <v>1</v>
      </c>
      <c r="D3">
        <f>(C3-0.5)/99</f>
        <v>5.0505050505050509E-3</v>
      </c>
      <c r="E3">
        <f>NORMSINV(D3)</f>
        <v>-2.5723521109428895</v>
      </c>
    </row>
    <row r="4" spans="2:5" x14ac:dyDescent="0.3">
      <c r="B4">
        <f>LNs!B54</f>
        <v>-1.0216901371770628</v>
      </c>
      <c r="C4">
        <f t="shared" ref="C4:C67" si="0">ROW()-2</f>
        <v>2</v>
      </c>
      <c r="D4">
        <f t="shared" ref="D4:D67" si="1">(C4-0.5)/99</f>
        <v>1.5151515151515152E-2</v>
      </c>
      <c r="E4">
        <f t="shared" ref="E4:E67" si="2">NORMSINV(D4)</f>
        <v>-2.1661067528923286</v>
      </c>
    </row>
    <row r="5" spans="2:5" x14ac:dyDescent="0.3">
      <c r="B5">
        <f>LNs!B62</f>
        <v>-0.96812627851704747</v>
      </c>
      <c r="C5">
        <f t="shared" si="0"/>
        <v>3</v>
      </c>
      <c r="D5">
        <f t="shared" si="1"/>
        <v>2.5252525252525252E-2</v>
      </c>
      <c r="E5">
        <f t="shared" si="2"/>
        <v>-1.9556614355881679</v>
      </c>
    </row>
    <row r="6" spans="2:5" x14ac:dyDescent="0.3">
      <c r="B6">
        <f>LNs!B29</f>
        <v>-0.93950562433092755</v>
      </c>
      <c r="C6">
        <f t="shared" si="0"/>
        <v>4</v>
      </c>
      <c r="D6">
        <f t="shared" si="1"/>
        <v>3.5353535353535352E-2</v>
      </c>
      <c r="E6">
        <f t="shared" si="2"/>
        <v>-1.807354196799112</v>
      </c>
    </row>
    <row r="7" spans="2:5" x14ac:dyDescent="0.3">
      <c r="B7">
        <f>LNs!B72</f>
        <v>-0.83601805064656365</v>
      </c>
      <c r="C7">
        <f t="shared" si="0"/>
        <v>5</v>
      </c>
      <c r="D7">
        <f t="shared" si="1"/>
        <v>4.5454545454545456E-2</v>
      </c>
      <c r="E7">
        <f t="shared" si="2"/>
        <v>-1.6906216295848977</v>
      </c>
    </row>
    <row r="8" spans="2:5" x14ac:dyDescent="0.3">
      <c r="B8">
        <f>LNs!B66</f>
        <v>-0.82178542134476706</v>
      </c>
      <c r="C8">
        <f t="shared" si="0"/>
        <v>6</v>
      </c>
      <c r="D8">
        <f t="shared" si="1"/>
        <v>5.5555555555555552E-2</v>
      </c>
      <c r="E8">
        <f t="shared" si="2"/>
        <v>-1.5932188180230502</v>
      </c>
    </row>
    <row r="9" spans="2:5" x14ac:dyDescent="0.3">
      <c r="B9">
        <f>LNs!B33</f>
        <v>-0.8140320218454159</v>
      </c>
      <c r="C9">
        <f t="shared" si="0"/>
        <v>7</v>
      </c>
      <c r="D9">
        <f t="shared" si="1"/>
        <v>6.5656565656565663E-2</v>
      </c>
      <c r="E9">
        <f t="shared" si="2"/>
        <v>-1.5089438550380374</v>
      </c>
    </row>
    <row r="10" spans="2:5" x14ac:dyDescent="0.3">
      <c r="B10">
        <f>LNs!B61</f>
        <v>-0.79497616165539009</v>
      </c>
      <c r="C10">
        <f t="shared" si="0"/>
        <v>8</v>
      </c>
      <c r="D10">
        <f t="shared" si="1"/>
        <v>7.575757575757576E-2</v>
      </c>
      <c r="E10">
        <f t="shared" si="2"/>
        <v>-1.4342001596863787</v>
      </c>
    </row>
    <row r="11" spans="2:5" x14ac:dyDescent="0.3">
      <c r="B11">
        <f>LNs!B70</f>
        <v>-0.76420718709915847</v>
      </c>
      <c r="C11">
        <f t="shared" si="0"/>
        <v>9</v>
      </c>
      <c r="D11">
        <f t="shared" si="1"/>
        <v>8.5858585858585856E-2</v>
      </c>
      <c r="E11">
        <f t="shared" si="2"/>
        <v>-1.3667069718079636</v>
      </c>
    </row>
    <row r="12" spans="2:5" x14ac:dyDescent="0.3">
      <c r="B12">
        <f>LNs!B65</f>
        <v>-0.74244037122599416</v>
      </c>
      <c r="C12">
        <f t="shared" si="0"/>
        <v>10</v>
      </c>
      <c r="D12">
        <f t="shared" si="1"/>
        <v>9.5959595959595953E-2</v>
      </c>
      <c r="E12">
        <f t="shared" si="2"/>
        <v>-1.304922637752725</v>
      </c>
    </row>
    <row r="13" spans="2:5" x14ac:dyDescent="0.3">
      <c r="B13">
        <f>LNs!B63</f>
        <v>-0.71334376544722722</v>
      </c>
      <c r="C13">
        <f t="shared" si="0"/>
        <v>11</v>
      </c>
      <c r="D13">
        <f t="shared" si="1"/>
        <v>0.10606060606060606</v>
      </c>
      <c r="E13">
        <f t="shared" si="2"/>
        <v>-1.2477538553513243</v>
      </c>
    </row>
    <row r="14" spans="2:5" x14ac:dyDescent="0.3">
      <c r="B14">
        <f>LNs!B40</f>
        <v>-0.68339092794468081</v>
      </c>
      <c r="C14">
        <f t="shared" si="0"/>
        <v>12</v>
      </c>
      <c r="D14">
        <f t="shared" si="1"/>
        <v>0.11616161616161616</v>
      </c>
      <c r="E14">
        <f t="shared" si="2"/>
        <v>-1.1943956635681565</v>
      </c>
    </row>
    <row r="15" spans="2:5" x14ac:dyDescent="0.3">
      <c r="B15">
        <f>LNs!B38</f>
        <v>-0.66441784844724483</v>
      </c>
      <c r="C15">
        <f t="shared" si="0"/>
        <v>13</v>
      </c>
      <c r="D15">
        <f t="shared" si="1"/>
        <v>0.12626262626262627</v>
      </c>
      <c r="E15">
        <f t="shared" si="2"/>
        <v>-1.1442372651002066</v>
      </c>
    </row>
    <row r="16" spans="2:5" x14ac:dyDescent="0.3">
      <c r="B16">
        <f>LNs!B53</f>
        <v>-0.64682291135486203</v>
      </c>
      <c r="C16">
        <f t="shared" si="0"/>
        <v>14</v>
      </c>
      <c r="D16">
        <f t="shared" si="1"/>
        <v>0.13636363636363635</v>
      </c>
      <c r="E16">
        <f t="shared" si="2"/>
        <v>-1.096803562093513</v>
      </c>
    </row>
    <row r="17" spans="2:5" x14ac:dyDescent="0.3">
      <c r="B17">
        <f>LNs!B37</f>
        <v>-0.64612619952008687</v>
      </c>
      <c r="C17">
        <f t="shared" si="0"/>
        <v>15</v>
      </c>
      <c r="D17">
        <f t="shared" si="1"/>
        <v>0.14646464646464646</v>
      </c>
      <c r="E17">
        <f t="shared" si="2"/>
        <v>-1.0517172529984806</v>
      </c>
    </row>
    <row r="18" spans="2:5" x14ac:dyDescent="0.3">
      <c r="B18">
        <f>LNs!B71</f>
        <v>-0.64372483530670921</v>
      </c>
      <c r="C18">
        <f t="shared" si="0"/>
        <v>16</v>
      </c>
      <c r="D18">
        <f t="shared" si="1"/>
        <v>0.15656565656565657</v>
      </c>
      <c r="E18">
        <f t="shared" si="2"/>
        <v>-1.0086733576467986</v>
      </c>
    </row>
    <row r="19" spans="2:5" x14ac:dyDescent="0.3">
      <c r="B19">
        <f>LNs!B31</f>
        <v>-0.62055864788424075</v>
      </c>
      <c r="C19">
        <f t="shared" si="0"/>
        <v>17</v>
      </c>
      <c r="D19">
        <f t="shared" si="1"/>
        <v>0.16666666666666666</v>
      </c>
      <c r="E19">
        <f t="shared" si="2"/>
        <v>-0.96742156610170071</v>
      </c>
    </row>
    <row r="20" spans="2:5" x14ac:dyDescent="0.3">
      <c r="B20">
        <f>LNs!B69</f>
        <v>-0.61628058832841881</v>
      </c>
      <c r="C20">
        <f t="shared" si="0"/>
        <v>18</v>
      </c>
      <c r="D20">
        <f t="shared" si="1"/>
        <v>0.17676767676767677</v>
      </c>
      <c r="E20">
        <f t="shared" si="2"/>
        <v>-0.92775368535742475</v>
      </c>
    </row>
    <row r="21" spans="2:5" x14ac:dyDescent="0.3">
      <c r="B21">
        <f>LNs!B35</f>
        <v>-0.61384074386737841</v>
      </c>
      <c r="C21">
        <f t="shared" si="0"/>
        <v>19</v>
      </c>
      <c r="D21">
        <f t="shared" si="1"/>
        <v>0.18686868686868688</v>
      </c>
      <c r="E21">
        <f t="shared" si="2"/>
        <v>-0.88949450753063364</v>
      </c>
    </row>
    <row r="22" spans="2:5" x14ac:dyDescent="0.3">
      <c r="B22">
        <f>LNs!B36</f>
        <v>-0.60840721460565172</v>
      </c>
      <c r="C22">
        <f t="shared" si="0"/>
        <v>20</v>
      </c>
      <c r="D22">
        <f t="shared" si="1"/>
        <v>0.19696969696969696</v>
      </c>
      <c r="E22">
        <f t="shared" si="2"/>
        <v>-0.85249503427469364</v>
      </c>
    </row>
    <row r="23" spans="2:5" x14ac:dyDescent="0.3">
      <c r="B23">
        <f>LNs!B30</f>
        <v>-0.58049729701530994</v>
      </c>
      <c r="C23">
        <f t="shared" si="0"/>
        <v>21</v>
      </c>
      <c r="D23">
        <f t="shared" si="1"/>
        <v>0.20707070707070707</v>
      </c>
      <c r="E23">
        <f t="shared" si="2"/>
        <v>-0.81662736084860543</v>
      </c>
    </row>
    <row r="24" spans="2:5" x14ac:dyDescent="0.3">
      <c r="B24">
        <f>LNs!B42</f>
        <v>-0.54990608008905451</v>
      </c>
      <c r="C24">
        <f t="shared" si="0"/>
        <v>22</v>
      </c>
      <c r="D24">
        <f t="shared" si="1"/>
        <v>0.21717171717171718</v>
      </c>
      <c r="E24">
        <f t="shared" si="2"/>
        <v>-0.78178075276507197</v>
      </c>
    </row>
    <row r="25" spans="2:5" x14ac:dyDescent="0.3">
      <c r="B25">
        <f>LNs!B67</f>
        <v>-0.53169181644737562</v>
      </c>
      <c r="C25">
        <f t="shared" si="0"/>
        <v>23</v>
      </c>
      <c r="D25">
        <f t="shared" si="1"/>
        <v>0.22727272727272727</v>
      </c>
      <c r="E25">
        <f t="shared" si="2"/>
        <v>-0.74785859476330196</v>
      </c>
    </row>
    <row r="26" spans="2:5" x14ac:dyDescent="0.3">
      <c r="B26">
        <f>LNs!B68</f>
        <v>-0.52157991103886614</v>
      </c>
      <c r="C26">
        <f t="shared" si="0"/>
        <v>24</v>
      </c>
      <c r="D26">
        <f t="shared" si="1"/>
        <v>0.23737373737373738</v>
      </c>
      <c r="E26">
        <f t="shared" si="2"/>
        <v>-0.71477598810315091</v>
      </c>
    </row>
    <row r="27" spans="2:5" x14ac:dyDescent="0.3">
      <c r="B27">
        <f>LNs!B73</f>
        <v>-0.49107201727915434</v>
      </c>
      <c r="C27">
        <f t="shared" si="0"/>
        <v>25</v>
      </c>
      <c r="D27">
        <f t="shared" si="1"/>
        <v>0.24747474747474749</v>
      </c>
      <c r="E27">
        <f t="shared" si="2"/>
        <v>-0.68245783666933024</v>
      </c>
    </row>
    <row r="28" spans="2:5" x14ac:dyDescent="0.3">
      <c r="B28">
        <f>LNs!B49</f>
        <v>-0.46696824070221421</v>
      </c>
      <c r="C28">
        <f t="shared" si="0"/>
        <v>26</v>
      </c>
      <c r="D28">
        <f t="shared" si="1"/>
        <v>0.25757575757575757</v>
      </c>
      <c r="E28">
        <f t="shared" si="2"/>
        <v>-0.65083730644447746</v>
      </c>
    </row>
    <row r="29" spans="2:5" x14ac:dyDescent="0.3">
      <c r="B29">
        <f>LNs!B82</f>
        <v>-0.45525059244441685</v>
      </c>
      <c r="C29">
        <f t="shared" si="0"/>
        <v>27</v>
      </c>
      <c r="D29">
        <f t="shared" si="1"/>
        <v>0.26767676767676768</v>
      </c>
      <c r="E29">
        <f t="shared" si="2"/>
        <v>-0.61985457356549389</v>
      </c>
    </row>
    <row r="30" spans="2:5" x14ac:dyDescent="0.3">
      <c r="B30">
        <f>LNs!B74</f>
        <v>-0.44958001832921285</v>
      </c>
      <c r="C30">
        <f t="shared" si="0"/>
        <v>28</v>
      </c>
      <c r="D30">
        <f t="shared" si="1"/>
        <v>0.27777777777777779</v>
      </c>
      <c r="E30">
        <f t="shared" si="2"/>
        <v>-0.58945579784977842</v>
      </c>
    </row>
    <row r="31" spans="2:5" x14ac:dyDescent="0.3">
      <c r="B31">
        <f>LNs!B76</f>
        <v>-0.43266314415236662</v>
      </c>
      <c r="C31">
        <f t="shared" si="0"/>
        <v>29</v>
      </c>
      <c r="D31">
        <f t="shared" si="1"/>
        <v>0.2878787878787879</v>
      </c>
      <c r="E31">
        <f t="shared" si="2"/>
        <v>-0.5595922742274323</v>
      </c>
    </row>
    <row r="32" spans="2:5" x14ac:dyDescent="0.3">
      <c r="B32">
        <f>LNs!B52</f>
        <v>-0.42073814948523031</v>
      </c>
      <c r="C32">
        <f t="shared" si="0"/>
        <v>30</v>
      </c>
      <c r="D32">
        <f t="shared" si="1"/>
        <v>0.29797979797979796</v>
      </c>
      <c r="E32">
        <f t="shared" si="2"/>
        <v>-0.53021972582422794</v>
      </c>
    </row>
    <row r="33" spans="2:5" x14ac:dyDescent="0.3">
      <c r="B33">
        <f>LNs!B34</f>
        <v>-0.41689518324308328</v>
      </c>
      <c r="C33">
        <f t="shared" si="0"/>
        <v>31</v>
      </c>
      <c r="D33">
        <f t="shared" si="1"/>
        <v>0.30808080808080807</v>
      </c>
      <c r="E33">
        <f t="shared" si="2"/>
        <v>-0.50129771076772867</v>
      </c>
    </row>
    <row r="34" spans="2:5" x14ac:dyDescent="0.3">
      <c r="B34">
        <f>LNs!B60</f>
        <v>-0.39712795892126285</v>
      </c>
      <c r="C34">
        <f t="shared" si="0"/>
        <v>32</v>
      </c>
      <c r="D34">
        <f t="shared" si="1"/>
        <v>0.31818181818181818</v>
      </c>
      <c r="E34">
        <f t="shared" si="2"/>
        <v>-0.47278912099226744</v>
      </c>
    </row>
    <row r="35" spans="2:5" x14ac:dyDescent="0.3">
      <c r="B35">
        <f>LNs!B56</f>
        <v>-0.38221841840942955</v>
      </c>
      <c r="C35">
        <f t="shared" si="0"/>
        <v>33</v>
      </c>
      <c r="D35">
        <f t="shared" si="1"/>
        <v>0.32828282828282829</v>
      </c>
      <c r="E35">
        <f t="shared" si="2"/>
        <v>-0.4446597559886718</v>
      </c>
    </row>
    <row r="36" spans="2:5" x14ac:dyDescent="0.3">
      <c r="B36">
        <f>LNs!B59</f>
        <v>-0.35146852091136344</v>
      </c>
      <c r="C36">
        <f t="shared" si="0"/>
        <v>34</v>
      </c>
      <c r="D36">
        <f t="shared" si="1"/>
        <v>0.3383838383838384</v>
      </c>
      <c r="E36">
        <f t="shared" si="2"/>
        <v>-0.41687795799540722</v>
      </c>
    </row>
    <row r="37" spans="2:5" x14ac:dyDescent="0.3">
      <c r="B37">
        <f>LNs!B80</f>
        <v>-0.3456855491391308</v>
      </c>
      <c r="C37">
        <f t="shared" si="0"/>
        <v>35</v>
      </c>
      <c r="D37">
        <f t="shared" si="1"/>
        <v>0.34848484848484851</v>
      </c>
      <c r="E37">
        <f t="shared" si="2"/>
        <v>-0.38941429785214438</v>
      </c>
    </row>
    <row r="38" spans="2:5" x14ac:dyDescent="0.3">
      <c r="B38">
        <f>LNs!B32</f>
        <v>-0.33224159840463702</v>
      </c>
      <c r="C38">
        <f t="shared" si="0"/>
        <v>36</v>
      </c>
      <c r="D38">
        <f t="shared" si="1"/>
        <v>0.35858585858585856</v>
      </c>
      <c r="E38">
        <f t="shared" si="2"/>
        <v>-0.3622413028447366</v>
      </c>
    </row>
    <row r="39" spans="2:5" x14ac:dyDescent="0.3">
      <c r="B39">
        <f>LNs!B78</f>
        <v>-0.31175484385006785</v>
      </c>
      <c r="C39">
        <f t="shared" si="0"/>
        <v>37</v>
      </c>
      <c r="D39">
        <f t="shared" si="1"/>
        <v>0.36868686868686867</v>
      </c>
      <c r="E39">
        <f t="shared" si="2"/>
        <v>-0.33533321951439826</v>
      </c>
    </row>
    <row r="40" spans="2:5" x14ac:dyDescent="0.3">
      <c r="B40">
        <f>LNs!B94</f>
        <v>-0.28549247137878858</v>
      </c>
      <c r="C40">
        <f t="shared" si="0"/>
        <v>38</v>
      </c>
      <c r="D40">
        <f t="shared" si="1"/>
        <v>0.37878787878787878</v>
      </c>
      <c r="E40">
        <f t="shared" si="2"/>
        <v>-0.30866580569493407</v>
      </c>
    </row>
    <row r="41" spans="2:5" x14ac:dyDescent="0.3">
      <c r="B41">
        <f>LNs!B58</f>
        <v>-0.28282853660234986</v>
      </c>
      <c r="C41">
        <f t="shared" si="0"/>
        <v>39</v>
      </c>
      <c r="D41">
        <f t="shared" si="1"/>
        <v>0.3888888888888889</v>
      </c>
      <c r="E41">
        <f t="shared" si="2"/>
        <v>-0.28221614706250814</v>
      </c>
    </row>
    <row r="42" spans="2:5" x14ac:dyDescent="0.3">
      <c r="B42">
        <f>LNs!B44</f>
        <v>-0.27398957732012452</v>
      </c>
      <c r="C42">
        <f t="shared" si="0"/>
        <v>40</v>
      </c>
      <c r="D42">
        <f t="shared" si="1"/>
        <v>0.39898989898989901</v>
      </c>
      <c r="E42">
        <f t="shared" si="2"/>
        <v>-0.25596249429406465</v>
      </c>
    </row>
    <row r="43" spans="2:5" x14ac:dyDescent="0.3">
      <c r="B43">
        <f>LNs!B83</f>
        <v>-0.25450522775722373</v>
      </c>
      <c r="C43">
        <f t="shared" si="0"/>
        <v>41</v>
      </c>
      <c r="D43">
        <f t="shared" si="1"/>
        <v>0.40909090909090912</v>
      </c>
      <c r="E43">
        <f t="shared" si="2"/>
        <v>-0.22988411757923208</v>
      </c>
    </row>
    <row r="44" spans="2:5" x14ac:dyDescent="0.3">
      <c r="B44">
        <f>LNs!B28</f>
        <v>-0.25406420545523778</v>
      </c>
      <c r="C44">
        <f t="shared" si="0"/>
        <v>42</v>
      </c>
      <c r="D44">
        <f t="shared" si="1"/>
        <v>0.41919191919191917</v>
      </c>
      <c r="E44">
        <f t="shared" si="2"/>
        <v>-0.20396117575131437</v>
      </c>
    </row>
    <row r="45" spans="2:5" x14ac:dyDescent="0.3">
      <c r="B45">
        <f>LNs!B26</f>
        <v>-0.24666681660769854</v>
      </c>
      <c r="C45">
        <f t="shared" si="0"/>
        <v>43</v>
      </c>
      <c r="D45">
        <f t="shared" si="1"/>
        <v>0.42929292929292928</v>
      </c>
      <c r="E45">
        <f t="shared" si="2"/>
        <v>-0.17817459772241043</v>
      </c>
    </row>
    <row r="46" spans="2:5" x14ac:dyDescent="0.3">
      <c r="B46">
        <f>LNs!B51</f>
        <v>-0.24418972649565446</v>
      </c>
      <c r="C46">
        <f t="shared" si="0"/>
        <v>44</v>
      </c>
      <c r="D46">
        <f t="shared" si="1"/>
        <v>0.43939393939393939</v>
      </c>
      <c r="E46">
        <f t="shared" si="2"/>
        <v>-0.15250597424624437</v>
      </c>
    </row>
    <row r="47" spans="2:5" x14ac:dyDescent="0.3">
      <c r="B47">
        <f>LNs!B79</f>
        <v>-0.22505788247744032</v>
      </c>
      <c r="C47">
        <f t="shared" si="0"/>
        <v>45</v>
      </c>
      <c r="D47">
        <f t="shared" si="1"/>
        <v>0.4494949494949495</v>
      </c>
      <c r="E47">
        <f t="shared" si="2"/>
        <v>-0.12693745830564304</v>
      </c>
    </row>
    <row r="48" spans="2:5" x14ac:dyDescent="0.3">
      <c r="B48">
        <f>LNs!B81</f>
        <v>-0.2150935397760764</v>
      </c>
      <c r="C48">
        <f t="shared" si="0"/>
        <v>46</v>
      </c>
      <c r="D48">
        <f t="shared" si="1"/>
        <v>0.45959595959595961</v>
      </c>
      <c r="E48">
        <f t="shared" si="2"/>
        <v>-0.1014516726419474</v>
      </c>
    </row>
    <row r="49" spans="2:5" x14ac:dyDescent="0.3">
      <c r="B49">
        <f>LNs!B55</f>
        <v>-0.20766644206790788</v>
      </c>
      <c r="C49">
        <f t="shared" si="0"/>
        <v>47</v>
      </c>
      <c r="D49">
        <f t="shared" si="1"/>
        <v>0.46969696969696972</v>
      </c>
      <c r="E49">
        <f t="shared" si="2"/>
        <v>-7.60316231203884E-2</v>
      </c>
    </row>
    <row r="50" spans="2:5" x14ac:dyDescent="0.3">
      <c r="B50">
        <f>LNs!B90</f>
        <v>-0.18766661620690314</v>
      </c>
      <c r="C50">
        <f t="shared" si="0"/>
        <v>48</v>
      </c>
      <c r="D50">
        <f t="shared" si="1"/>
        <v>0.47979797979797978</v>
      </c>
      <c r="E50">
        <f t="shared" si="2"/>
        <v>-5.0660616765876576E-2</v>
      </c>
    </row>
    <row r="51" spans="2:5" x14ac:dyDescent="0.3">
      <c r="B51">
        <f>LNs!B45</f>
        <v>-0.10794941953490671</v>
      </c>
      <c r="C51">
        <f t="shared" si="0"/>
        <v>49</v>
      </c>
      <c r="D51">
        <f t="shared" si="1"/>
        <v>0.48989898989898989</v>
      </c>
      <c r="E51">
        <f t="shared" si="2"/>
        <v>-2.5322183413346296E-2</v>
      </c>
    </row>
    <row r="52" spans="2:5" x14ac:dyDescent="0.3">
      <c r="B52">
        <f>LNs!B84</f>
        <v>-7.8032895366691932E-2</v>
      </c>
      <c r="C52">
        <f t="shared" si="0"/>
        <v>50</v>
      </c>
      <c r="D52">
        <f t="shared" si="1"/>
        <v>0.5</v>
      </c>
      <c r="E52">
        <f t="shared" si="2"/>
        <v>0</v>
      </c>
    </row>
    <row r="53" spans="2:5" x14ac:dyDescent="0.3">
      <c r="B53">
        <f>LNs!B39</f>
        <v>-7.7238559640826585E-2</v>
      </c>
      <c r="C53">
        <f t="shared" si="0"/>
        <v>51</v>
      </c>
      <c r="D53">
        <f t="shared" si="1"/>
        <v>0.51010101010101006</v>
      </c>
      <c r="E53">
        <f t="shared" si="2"/>
        <v>2.5322183413346164E-2</v>
      </c>
    </row>
    <row r="54" spans="2:5" x14ac:dyDescent="0.3">
      <c r="B54">
        <f>LNs!B50</f>
        <v>-7.5383246508965815E-2</v>
      </c>
      <c r="C54">
        <f t="shared" si="0"/>
        <v>52</v>
      </c>
      <c r="D54">
        <f t="shared" si="1"/>
        <v>0.52020202020202022</v>
      </c>
      <c r="E54">
        <f t="shared" si="2"/>
        <v>5.0660616765876576E-2</v>
      </c>
    </row>
    <row r="55" spans="2:5" x14ac:dyDescent="0.3">
      <c r="B55">
        <f>LNs!B96</f>
        <v>-6.3753762474548378E-2</v>
      </c>
      <c r="C55">
        <f t="shared" si="0"/>
        <v>53</v>
      </c>
      <c r="D55">
        <f t="shared" si="1"/>
        <v>0.53030303030303028</v>
      </c>
      <c r="E55">
        <f t="shared" si="2"/>
        <v>7.60316231203884E-2</v>
      </c>
    </row>
    <row r="56" spans="2:5" x14ac:dyDescent="0.3">
      <c r="B56">
        <f>LNs!B92</f>
        <v>-6.2813077239083442E-2</v>
      </c>
      <c r="C56">
        <f t="shared" si="0"/>
        <v>54</v>
      </c>
      <c r="D56">
        <f t="shared" si="1"/>
        <v>0.54040404040404044</v>
      </c>
      <c r="E56">
        <f t="shared" si="2"/>
        <v>0.10145167264194754</v>
      </c>
    </row>
    <row r="57" spans="2:5" x14ac:dyDescent="0.3">
      <c r="B57">
        <f>LNs!B75</f>
        <v>-5.6284678011233616E-2</v>
      </c>
      <c r="C57">
        <f t="shared" si="0"/>
        <v>55</v>
      </c>
      <c r="D57">
        <f t="shared" si="1"/>
        <v>0.5505050505050505</v>
      </c>
      <c r="E57">
        <f t="shared" si="2"/>
        <v>0.12693745830564304</v>
      </c>
    </row>
    <row r="58" spans="2:5" x14ac:dyDescent="0.3">
      <c r="B58">
        <f>LNs!B43</f>
        <v>-5.3320611164088524E-2</v>
      </c>
      <c r="C58">
        <f t="shared" si="0"/>
        <v>56</v>
      </c>
      <c r="D58">
        <f t="shared" si="1"/>
        <v>0.56060606060606055</v>
      </c>
      <c r="E58">
        <f t="shared" si="2"/>
        <v>0.15250597424624424</v>
      </c>
    </row>
    <row r="59" spans="2:5" x14ac:dyDescent="0.3">
      <c r="B59">
        <f>LNs!B48</f>
        <v>-5.2731169740292336E-2</v>
      </c>
      <c r="C59">
        <f t="shared" si="0"/>
        <v>57</v>
      </c>
      <c r="D59">
        <f t="shared" si="1"/>
        <v>0.57070707070707072</v>
      </c>
      <c r="E59">
        <f t="shared" si="2"/>
        <v>0.17817459772241043</v>
      </c>
    </row>
    <row r="60" spans="2:5" x14ac:dyDescent="0.3">
      <c r="B60">
        <f>LNs!B89</f>
        <v>-3.4445492688223001E-2</v>
      </c>
      <c r="C60">
        <f t="shared" si="0"/>
        <v>58</v>
      </c>
      <c r="D60">
        <f t="shared" si="1"/>
        <v>0.58080808080808077</v>
      </c>
      <c r="E60">
        <f t="shared" si="2"/>
        <v>0.2039611757513142</v>
      </c>
    </row>
    <row r="61" spans="2:5" x14ac:dyDescent="0.3">
      <c r="B61">
        <f>LNs!B46</f>
        <v>-2.4437170218552275E-2</v>
      </c>
      <c r="C61">
        <f t="shared" si="0"/>
        <v>59</v>
      </c>
      <c r="D61">
        <f t="shared" si="1"/>
        <v>0.59090909090909094</v>
      </c>
      <c r="E61">
        <f t="shared" si="2"/>
        <v>0.22988411757923222</v>
      </c>
    </row>
    <row r="62" spans="2:5" x14ac:dyDescent="0.3">
      <c r="B62">
        <f>LNs!B57</f>
        <v>-1.3420655470072092E-2</v>
      </c>
      <c r="C62">
        <f t="shared" si="0"/>
        <v>60</v>
      </c>
      <c r="D62">
        <f t="shared" si="1"/>
        <v>0.60101010101010099</v>
      </c>
      <c r="E62">
        <f t="shared" si="2"/>
        <v>0.25596249429406465</v>
      </c>
    </row>
    <row r="63" spans="2:5" x14ac:dyDescent="0.3">
      <c r="B63">
        <f>LNs!B95</f>
        <v>-9.8543954551155253E-3</v>
      </c>
      <c r="C63">
        <f t="shared" si="0"/>
        <v>61</v>
      </c>
      <c r="D63">
        <f t="shared" si="1"/>
        <v>0.61111111111111116</v>
      </c>
      <c r="E63">
        <f t="shared" si="2"/>
        <v>0.28221614706250825</v>
      </c>
    </row>
    <row r="64" spans="2:5" x14ac:dyDescent="0.3">
      <c r="B64">
        <f>LNs!B93</f>
        <v>-4.7844271401595966E-3</v>
      </c>
      <c r="C64">
        <f t="shared" si="0"/>
        <v>62</v>
      </c>
      <c r="D64">
        <f t="shared" si="1"/>
        <v>0.62121212121212122</v>
      </c>
      <c r="E64">
        <f t="shared" si="2"/>
        <v>0.30866580569493407</v>
      </c>
    </row>
    <row r="65" spans="2:5" x14ac:dyDescent="0.3">
      <c r="B65">
        <f>LNs!B21</f>
        <v>1.8291682472166292E-2</v>
      </c>
      <c r="C65">
        <f t="shared" si="0"/>
        <v>63</v>
      </c>
      <c r="D65">
        <f t="shared" si="1"/>
        <v>0.63131313131313127</v>
      </c>
      <c r="E65">
        <f t="shared" si="2"/>
        <v>0.3353332195143981</v>
      </c>
    </row>
    <row r="66" spans="2:5" x14ac:dyDescent="0.3">
      <c r="B66">
        <f>LNs!B91</f>
        <v>2.1565777914560585E-2</v>
      </c>
      <c r="C66">
        <f t="shared" si="0"/>
        <v>64</v>
      </c>
      <c r="D66">
        <f t="shared" si="1"/>
        <v>0.64141414141414144</v>
      </c>
      <c r="E66">
        <f t="shared" si="2"/>
        <v>0.3622413028447366</v>
      </c>
    </row>
    <row r="67" spans="2:5" x14ac:dyDescent="0.3">
      <c r="B67">
        <f>LNs!B25</f>
        <v>5.9409766531432283E-2</v>
      </c>
      <c r="C67">
        <f t="shared" si="0"/>
        <v>65</v>
      </c>
      <c r="D67">
        <f t="shared" si="1"/>
        <v>0.65151515151515149</v>
      </c>
      <c r="E67">
        <f t="shared" si="2"/>
        <v>0.38941429785214438</v>
      </c>
    </row>
    <row r="68" spans="2:5" x14ac:dyDescent="0.3">
      <c r="B68">
        <f>LNs!B4</f>
        <v>8.5581188090205845E-2</v>
      </c>
      <c r="C68">
        <f t="shared" ref="C68:C101" si="3">ROW()-2</f>
        <v>66</v>
      </c>
      <c r="D68">
        <f t="shared" ref="D68:D101" si="4">(C68-0.5)/99</f>
        <v>0.66161616161616166</v>
      </c>
      <c r="E68">
        <f t="shared" ref="E68:E101" si="5">NORMSINV(D68)</f>
        <v>0.41687795799540739</v>
      </c>
    </row>
    <row r="69" spans="2:5" x14ac:dyDescent="0.3">
      <c r="B69">
        <f>LNs!B27</f>
        <v>0.10666366618821835</v>
      </c>
      <c r="C69">
        <f t="shared" si="3"/>
        <v>67</v>
      </c>
      <c r="D69">
        <f t="shared" si="4"/>
        <v>0.67171717171717171</v>
      </c>
      <c r="E69">
        <f t="shared" si="5"/>
        <v>0.4446597559886718</v>
      </c>
    </row>
    <row r="70" spans="2:5" x14ac:dyDescent="0.3">
      <c r="B70">
        <f>LNs!B24</f>
        <v>0.10713094751804886</v>
      </c>
      <c r="C70">
        <f t="shared" si="3"/>
        <v>68</v>
      </c>
      <c r="D70">
        <f t="shared" si="4"/>
        <v>0.68181818181818177</v>
      </c>
      <c r="E70">
        <f t="shared" si="5"/>
        <v>0.47278912099226728</v>
      </c>
    </row>
    <row r="71" spans="2:5" x14ac:dyDescent="0.3">
      <c r="B71">
        <f>LNs!B100</f>
        <v>0.13373512187031039</v>
      </c>
      <c r="C71">
        <f t="shared" si="3"/>
        <v>69</v>
      </c>
      <c r="D71">
        <f t="shared" si="4"/>
        <v>0.69191919191919193</v>
      </c>
      <c r="E71">
        <f t="shared" si="5"/>
        <v>0.50129771076772867</v>
      </c>
    </row>
    <row r="72" spans="2:5" x14ac:dyDescent="0.3">
      <c r="B72">
        <f>LNs!B22</f>
        <v>0.17733414028290767</v>
      </c>
      <c r="C72">
        <f t="shared" si="3"/>
        <v>70</v>
      </c>
      <c r="D72">
        <f t="shared" si="4"/>
        <v>0.70202020202020199</v>
      </c>
      <c r="E72">
        <f t="shared" si="5"/>
        <v>0.53021972582422772</v>
      </c>
    </row>
    <row r="73" spans="2:5" x14ac:dyDescent="0.3">
      <c r="B73">
        <f>LNs!B64</f>
        <v>0.20810300727944708</v>
      </c>
      <c r="C73">
        <f t="shared" si="3"/>
        <v>71</v>
      </c>
      <c r="D73">
        <f t="shared" si="4"/>
        <v>0.71212121212121215</v>
      </c>
      <c r="E73">
        <f t="shared" si="5"/>
        <v>0.55959227422743252</v>
      </c>
    </row>
    <row r="74" spans="2:5" x14ac:dyDescent="0.3">
      <c r="B74">
        <f>LNs!B47</f>
        <v>0.2390090264237516</v>
      </c>
      <c r="C74">
        <f t="shared" si="3"/>
        <v>72</v>
      </c>
      <c r="D74">
        <f t="shared" si="4"/>
        <v>0.72222222222222221</v>
      </c>
      <c r="E74">
        <f t="shared" si="5"/>
        <v>0.58945579784977842</v>
      </c>
    </row>
    <row r="75" spans="2:5" x14ac:dyDescent="0.3">
      <c r="B75">
        <f>LNs!B19</f>
        <v>0.24807808585861763</v>
      </c>
      <c r="C75">
        <f t="shared" si="3"/>
        <v>73</v>
      </c>
      <c r="D75">
        <f t="shared" si="4"/>
        <v>0.73232323232323238</v>
      </c>
      <c r="E75">
        <f t="shared" si="5"/>
        <v>0.61985457356549423</v>
      </c>
    </row>
    <row r="76" spans="2:5" x14ac:dyDescent="0.3">
      <c r="B76">
        <f>LNs!B99</f>
        <v>0.26014642225725998</v>
      </c>
      <c r="C76">
        <f t="shared" si="3"/>
        <v>74</v>
      </c>
      <c r="D76">
        <f t="shared" si="4"/>
        <v>0.74242424242424243</v>
      </c>
      <c r="E76">
        <f t="shared" si="5"/>
        <v>0.65083730644447746</v>
      </c>
    </row>
    <row r="77" spans="2:5" x14ac:dyDescent="0.3">
      <c r="B77">
        <f>LNs!B87</f>
        <v>0.32982159864587302</v>
      </c>
      <c r="C77">
        <f t="shared" si="3"/>
        <v>75</v>
      </c>
      <c r="D77">
        <f t="shared" si="4"/>
        <v>0.75252525252525249</v>
      </c>
      <c r="E77">
        <f t="shared" si="5"/>
        <v>0.68245783666933024</v>
      </c>
    </row>
    <row r="78" spans="2:5" x14ac:dyDescent="0.3">
      <c r="B78">
        <f>LNs!B101</f>
        <v>0.36417077983366009</v>
      </c>
      <c r="C78">
        <f t="shared" si="3"/>
        <v>76</v>
      </c>
      <c r="D78">
        <f t="shared" si="4"/>
        <v>0.76262626262626265</v>
      </c>
      <c r="E78">
        <f t="shared" si="5"/>
        <v>0.71477598810315091</v>
      </c>
    </row>
    <row r="79" spans="2:5" x14ac:dyDescent="0.3">
      <c r="B79">
        <f>LNs!B5</f>
        <v>0.38622792092059149</v>
      </c>
      <c r="C79">
        <f t="shared" si="3"/>
        <v>77</v>
      </c>
      <c r="D79">
        <f t="shared" si="4"/>
        <v>0.77272727272727271</v>
      </c>
      <c r="E79">
        <f t="shared" si="5"/>
        <v>0.74785859476330196</v>
      </c>
    </row>
    <row r="80" spans="2:5" x14ac:dyDescent="0.3">
      <c r="B80">
        <f>LNs!B18</f>
        <v>0.42230911463305615</v>
      </c>
      <c r="C80">
        <f t="shared" si="3"/>
        <v>78</v>
      </c>
      <c r="D80">
        <f t="shared" si="4"/>
        <v>0.78282828282828287</v>
      </c>
      <c r="E80">
        <f t="shared" si="5"/>
        <v>0.78178075276507275</v>
      </c>
    </row>
    <row r="81" spans="2:5" x14ac:dyDescent="0.3">
      <c r="B81">
        <f>LNs!B13</f>
        <v>0.46494711660624294</v>
      </c>
      <c r="C81">
        <f t="shared" si="3"/>
        <v>79</v>
      </c>
      <c r="D81">
        <f t="shared" si="4"/>
        <v>0.79292929292929293</v>
      </c>
      <c r="E81">
        <f t="shared" si="5"/>
        <v>0.81662736084860543</v>
      </c>
    </row>
    <row r="82" spans="2:5" x14ac:dyDescent="0.3">
      <c r="B82">
        <f>LNs!B98</f>
        <v>0.50388559739632766</v>
      </c>
      <c r="C82">
        <f t="shared" si="3"/>
        <v>80</v>
      </c>
      <c r="D82">
        <f t="shared" si="4"/>
        <v>0.80303030303030298</v>
      </c>
      <c r="E82">
        <f t="shared" si="5"/>
        <v>0.85249503427469353</v>
      </c>
    </row>
    <row r="83" spans="2:5" x14ac:dyDescent="0.3">
      <c r="B83">
        <f>LNs!B102</f>
        <v>0.53042823105950332</v>
      </c>
      <c r="C83">
        <f t="shared" si="3"/>
        <v>81</v>
      </c>
      <c r="D83">
        <f t="shared" si="4"/>
        <v>0.81313131313131315</v>
      </c>
      <c r="E83">
        <f t="shared" si="5"/>
        <v>0.88949450753063364</v>
      </c>
    </row>
    <row r="84" spans="2:5" x14ac:dyDescent="0.3">
      <c r="B84">
        <f>LNs!B77</f>
        <v>0.53066942668503103</v>
      </c>
      <c r="C84">
        <f t="shared" si="3"/>
        <v>82</v>
      </c>
      <c r="D84">
        <f t="shared" si="4"/>
        <v>0.8232323232323232</v>
      </c>
      <c r="E84">
        <f t="shared" si="5"/>
        <v>0.92775368535742475</v>
      </c>
    </row>
    <row r="85" spans="2:5" x14ac:dyDescent="0.3">
      <c r="B85">
        <f>LNs!B23</f>
        <v>0.53853806233252643</v>
      </c>
      <c r="C85">
        <f t="shared" si="3"/>
        <v>83</v>
      </c>
      <c r="D85">
        <f t="shared" si="4"/>
        <v>0.83333333333333337</v>
      </c>
      <c r="E85">
        <f t="shared" si="5"/>
        <v>0.96742156610170071</v>
      </c>
    </row>
    <row r="86" spans="2:5" x14ac:dyDescent="0.3">
      <c r="B86">
        <f>LNs!B88</f>
        <v>0.55836357567336936</v>
      </c>
      <c r="C86">
        <f t="shared" si="3"/>
        <v>84</v>
      </c>
      <c r="D86">
        <f t="shared" si="4"/>
        <v>0.84343434343434343</v>
      </c>
      <c r="E86">
        <f t="shared" si="5"/>
        <v>1.0086733576467986</v>
      </c>
    </row>
    <row r="87" spans="2:5" x14ac:dyDescent="0.3">
      <c r="B87">
        <f>LNs!B20</f>
        <v>0.59704368616479575</v>
      </c>
      <c r="C87">
        <f t="shared" si="3"/>
        <v>85</v>
      </c>
      <c r="D87">
        <f t="shared" si="4"/>
        <v>0.85353535353535348</v>
      </c>
      <c r="E87">
        <f t="shared" si="5"/>
        <v>1.0517172529984837</v>
      </c>
    </row>
    <row r="88" spans="2:5" x14ac:dyDescent="0.3">
      <c r="B88">
        <f>LNs!B6</f>
        <v>0.60881947203587838</v>
      </c>
      <c r="C88">
        <f t="shared" si="3"/>
        <v>86</v>
      </c>
      <c r="D88">
        <f t="shared" si="4"/>
        <v>0.86363636363636365</v>
      </c>
      <c r="E88">
        <f t="shared" si="5"/>
        <v>1.096803562093513</v>
      </c>
    </row>
    <row r="89" spans="2:5" x14ac:dyDescent="0.3">
      <c r="B89">
        <f>LNs!B12</f>
        <v>0.61038494498699514</v>
      </c>
      <c r="C89">
        <f t="shared" si="3"/>
        <v>87</v>
      </c>
      <c r="D89">
        <f t="shared" si="4"/>
        <v>0.8737373737373737</v>
      </c>
      <c r="E89">
        <f t="shared" si="5"/>
        <v>1.1442372651002066</v>
      </c>
    </row>
    <row r="90" spans="2:5" x14ac:dyDescent="0.3">
      <c r="B90">
        <f>LNs!B86</f>
        <v>0.6261790436281528</v>
      </c>
      <c r="C90">
        <f t="shared" si="3"/>
        <v>88</v>
      </c>
      <c r="D90">
        <f t="shared" si="4"/>
        <v>0.88383838383838387</v>
      </c>
      <c r="E90">
        <f t="shared" si="5"/>
        <v>1.1943956635681565</v>
      </c>
    </row>
    <row r="91" spans="2:5" x14ac:dyDescent="0.3">
      <c r="B91">
        <f>LNs!B7</f>
        <v>0.6644441620310394</v>
      </c>
      <c r="C91">
        <f t="shared" si="3"/>
        <v>89</v>
      </c>
      <c r="D91">
        <f t="shared" si="4"/>
        <v>0.89393939393939392</v>
      </c>
      <c r="E91">
        <f t="shared" si="5"/>
        <v>1.2477538553513243</v>
      </c>
    </row>
    <row r="92" spans="2:5" x14ac:dyDescent="0.3">
      <c r="B92">
        <f>LNs!B17</f>
        <v>0.68673164495048022</v>
      </c>
      <c r="C92">
        <f t="shared" si="3"/>
        <v>90</v>
      </c>
      <c r="D92">
        <f t="shared" si="4"/>
        <v>0.90404040404040409</v>
      </c>
      <c r="E92">
        <f t="shared" si="5"/>
        <v>1.3049226377527239</v>
      </c>
    </row>
    <row r="93" spans="2:5" x14ac:dyDescent="0.3">
      <c r="B93">
        <f>LNs!B15</f>
        <v>0.69196648381178283</v>
      </c>
      <c r="C93">
        <f t="shared" si="3"/>
        <v>91</v>
      </c>
      <c r="D93">
        <f t="shared" si="4"/>
        <v>0.91414141414141414</v>
      </c>
      <c r="E93">
        <f t="shared" si="5"/>
        <v>1.3667069718079636</v>
      </c>
    </row>
    <row r="94" spans="2:5" x14ac:dyDescent="0.3">
      <c r="B94">
        <f>LNs!B11</f>
        <v>0.70390411671264597</v>
      </c>
      <c r="C94">
        <f t="shared" si="3"/>
        <v>92</v>
      </c>
      <c r="D94">
        <f t="shared" si="4"/>
        <v>0.9242424242424242</v>
      </c>
      <c r="E94">
        <f t="shared" si="5"/>
        <v>1.434200159686378</v>
      </c>
    </row>
    <row r="95" spans="2:5" x14ac:dyDescent="0.3">
      <c r="B95">
        <f>LNs!B85</f>
        <v>0.76715014720078134</v>
      </c>
      <c r="C95">
        <f t="shared" si="3"/>
        <v>93</v>
      </c>
      <c r="D95">
        <f t="shared" si="4"/>
        <v>0.93434343434343436</v>
      </c>
      <c r="E95">
        <f t="shared" si="5"/>
        <v>1.5089438550380383</v>
      </c>
    </row>
    <row r="96" spans="2:5" x14ac:dyDescent="0.3">
      <c r="B96">
        <f>LNs!B8</f>
        <v>0.78482805512350173</v>
      </c>
      <c r="C96">
        <f t="shared" si="3"/>
        <v>94</v>
      </c>
      <c r="D96">
        <f t="shared" si="4"/>
        <v>0.94444444444444442</v>
      </c>
      <c r="E96">
        <f t="shared" si="5"/>
        <v>1.59321881802305</v>
      </c>
    </row>
    <row r="97" spans="2:5" x14ac:dyDescent="0.3">
      <c r="B97">
        <f>LNs!B97</f>
        <v>0.85715624924863132</v>
      </c>
      <c r="C97">
        <f t="shared" si="3"/>
        <v>95</v>
      </c>
      <c r="D97">
        <f t="shared" si="4"/>
        <v>0.95454545454545459</v>
      </c>
      <c r="E97">
        <f t="shared" si="5"/>
        <v>1.6906216295848984</v>
      </c>
    </row>
    <row r="98" spans="2:5" x14ac:dyDescent="0.3">
      <c r="B98">
        <f>LNs!B14</f>
        <v>1.0276675134559128</v>
      </c>
      <c r="C98">
        <f t="shared" si="3"/>
        <v>96</v>
      </c>
      <c r="D98">
        <f t="shared" si="4"/>
        <v>0.96464646464646464</v>
      </c>
      <c r="E98">
        <f t="shared" si="5"/>
        <v>1.807354196799112</v>
      </c>
    </row>
    <row r="99" spans="2:5" x14ac:dyDescent="0.3">
      <c r="B99">
        <f>LNs!B9</f>
        <v>1.1145118841991208</v>
      </c>
      <c r="C99">
        <f t="shared" si="3"/>
        <v>97</v>
      </c>
      <c r="D99">
        <f t="shared" si="4"/>
        <v>0.9747474747474747</v>
      </c>
      <c r="E99">
        <f t="shared" si="5"/>
        <v>1.9556614355881674</v>
      </c>
    </row>
    <row r="100" spans="2:5" x14ac:dyDescent="0.3">
      <c r="B100">
        <f>LNs!B16</f>
        <v>1.1368485430418493</v>
      </c>
      <c r="C100">
        <f t="shared" si="3"/>
        <v>98</v>
      </c>
      <c r="D100">
        <f t="shared" si="4"/>
        <v>0.98484848484848486</v>
      </c>
      <c r="E100">
        <f t="shared" si="5"/>
        <v>2.166106752892329</v>
      </c>
    </row>
    <row r="101" spans="2:5" x14ac:dyDescent="0.3">
      <c r="B101">
        <f>LNs!B10</f>
        <v>1.2231958519335453</v>
      </c>
      <c r="C101">
        <f t="shared" si="3"/>
        <v>99</v>
      </c>
      <c r="D101">
        <f t="shared" si="4"/>
        <v>0.99494949494949492</v>
      </c>
      <c r="E101">
        <f t="shared" si="5"/>
        <v>2.5723521109428868</v>
      </c>
    </row>
  </sheetData>
  <sortState xmlns:xlrd2="http://schemas.microsoft.com/office/spreadsheetml/2017/richdata2" ref="B3:B101">
    <sortCondition ref="B3:B101"/>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B2A8-9A6F-4857-9E62-F5F80E30F2D1}">
  <dimension ref="B2:E101"/>
  <sheetViews>
    <sheetView workbookViewId="0">
      <selection activeCell="G26" sqref="G26"/>
    </sheetView>
  </sheetViews>
  <sheetFormatPr defaultRowHeight="14.4" x14ac:dyDescent="0.3"/>
  <cols>
    <col min="2" max="2" width="11.21875" customWidth="1"/>
    <col min="4" max="4" width="14.33203125" bestFit="1" customWidth="1"/>
    <col min="5" max="5" width="17.88671875" customWidth="1"/>
  </cols>
  <sheetData>
    <row r="2" spans="2:5" x14ac:dyDescent="0.3">
      <c r="B2" t="s">
        <v>7</v>
      </c>
      <c r="C2" t="s">
        <v>4</v>
      </c>
      <c r="D2" t="s">
        <v>5</v>
      </c>
      <c r="E2" t="s">
        <v>6</v>
      </c>
    </row>
    <row r="3" spans="2:5" x14ac:dyDescent="0.3">
      <c r="B3">
        <f>LNs!C41</f>
        <v>-1.0432040721971021</v>
      </c>
      <c r="C3">
        <f>ROW()-2</f>
        <v>1</v>
      </c>
      <c r="D3">
        <f>(C3-0.5)/99</f>
        <v>5.0505050505050509E-3</v>
      </c>
      <c r="E3">
        <f>NORMSINV(D3)</f>
        <v>-2.5723521109428895</v>
      </c>
    </row>
    <row r="4" spans="2:5" x14ac:dyDescent="0.3">
      <c r="B4">
        <f>LNs!C29</f>
        <v>-0.90846146075982193</v>
      </c>
      <c r="C4">
        <f t="shared" ref="C4:C67" si="0">ROW()-2</f>
        <v>2</v>
      </c>
      <c r="D4">
        <f t="shared" ref="D4:D67" si="1">(C4-0.5)/99</f>
        <v>1.5151515151515152E-2</v>
      </c>
      <c r="E4">
        <f t="shared" ref="E4:E67" si="2">NORMSINV(D4)</f>
        <v>-2.1661067528923286</v>
      </c>
    </row>
    <row r="5" spans="2:5" x14ac:dyDescent="0.3">
      <c r="B5">
        <f>LNs!C62</f>
        <v>-0.8597355555009023</v>
      </c>
      <c r="C5">
        <f t="shared" si="0"/>
        <v>3</v>
      </c>
      <c r="D5">
        <f t="shared" si="1"/>
        <v>2.5252525252525252E-2</v>
      </c>
      <c r="E5">
        <f t="shared" si="2"/>
        <v>-1.9556614355881679</v>
      </c>
    </row>
    <row r="6" spans="2:5" x14ac:dyDescent="0.3">
      <c r="B6">
        <f>LNs!C54</f>
        <v>-0.82028988154672766</v>
      </c>
      <c r="C6">
        <f t="shared" si="0"/>
        <v>4</v>
      </c>
      <c r="D6">
        <f t="shared" si="1"/>
        <v>3.5353535353535352E-2</v>
      </c>
      <c r="E6">
        <f t="shared" si="2"/>
        <v>-1.807354196799112</v>
      </c>
    </row>
    <row r="7" spans="2:5" x14ac:dyDescent="0.3">
      <c r="B7">
        <f>LNs!C35</f>
        <v>-0.74398794577532112</v>
      </c>
      <c r="C7">
        <f t="shared" si="0"/>
        <v>5</v>
      </c>
      <c r="D7">
        <f t="shared" si="1"/>
        <v>4.5454545454545456E-2</v>
      </c>
      <c r="E7">
        <f t="shared" si="2"/>
        <v>-1.6906216295848977</v>
      </c>
    </row>
    <row r="8" spans="2:5" x14ac:dyDescent="0.3">
      <c r="B8">
        <f>LNs!C33</f>
        <v>-0.7357060993268093</v>
      </c>
      <c r="C8">
        <f t="shared" si="0"/>
        <v>6</v>
      </c>
      <c r="D8">
        <f t="shared" si="1"/>
        <v>5.5555555555555552E-2</v>
      </c>
      <c r="E8">
        <f t="shared" si="2"/>
        <v>-1.5932188180230502</v>
      </c>
    </row>
    <row r="9" spans="2:5" x14ac:dyDescent="0.3">
      <c r="B9">
        <f>LNs!C66</f>
        <v>-0.70498294773161518</v>
      </c>
      <c r="C9">
        <f t="shared" si="0"/>
        <v>7</v>
      </c>
      <c r="D9">
        <f t="shared" si="1"/>
        <v>6.5656565656565663E-2</v>
      </c>
      <c r="E9">
        <f t="shared" si="2"/>
        <v>-1.5089438550380374</v>
      </c>
    </row>
    <row r="10" spans="2:5" x14ac:dyDescent="0.3">
      <c r="B10">
        <f>LNs!C31</f>
        <v>-0.69744038318003265</v>
      </c>
      <c r="C10">
        <f t="shared" si="0"/>
        <v>8</v>
      </c>
      <c r="D10">
        <f t="shared" si="1"/>
        <v>7.575757575757576E-2</v>
      </c>
      <c r="E10">
        <f t="shared" si="2"/>
        <v>-1.4342001596863787</v>
      </c>
    </row>
    <row r="11" spans="2:5" x14ac:dyDescent="0.3">
      <c r="B11">
        <f>LNs!C38</f>
        <v>-0.67848322384128557</v>
      </c>
      <c r="C11">
        <f t="shared" si="0"/>
        <v>9</v>
      </c>
      <c r="D11">
        <f t="shared" si="1"/>
        <v>8.5858585858585856E-2</v>
      </c>
      <c r="E11">
        <f t="shared" si="2"/>
        <v>-1.3667069718079636</v>
      </c>
    </row>
    <row r="12" spans="2:5" x14ac:dyDescent="0.3">
      <c r="B12">
        <f>LNs!C61</f>
        <v>-0.65544107538491403</v>
      </c>
      <c r="C12">
        <f t="shared" si="0"/>
        <v>10</v>
      </c>
      <c r="D12">
        <f t="shared" si="1"/>
        <v>9.5959595959595953E-2</v>
      </c>
      <c r="E12">
        <f t="shared" si="2"/>
        <v>-1.304922637752725</v>
      </c>
    </row>
    <row r="13" spans="2:5" x14ac:dyDescent="0.3">
      <c r="B13">
        <f>LNs!C72</f>
        <v>-0.64005770028054187</v>
      </c>
      <c r="C13">
        <f t="shared" si="0"/>
        <v>11</v>
      </c>
      <c r="D13">
        <f t="shared" si="1"/>
        <v>0.10606060606060606</v>
      </c>
      <c r="E13">
        <f t="shared" si="2"/>
        <v>-1.2477538553513243</v>
      </c>
    </row>
    <row r="14" spans="2:5" x14ac:dyDescent="0.3">
      <c r="B14">
        <f>LNs!C37</f>
        <v>-0.62768908236299048</v>
      </c>
      <c r="C14">
        <f t="shared" si="0"/>
        <v>12</v>
      </c>
      <c r="D14">
        <f t="shared" si="1"/>
        <v>0.11616161616161616</v>
      </c>
      <c r="E14">
        <f t="shared" si="2"/>
        <v>-1.1943956635681565</v>
      </c>
    </row>
    <row r="15" spans="2:5" x14ac:dyDescent="0.3">
      <c r="B15">
        <f>LNs!C70</f>
        <v>-0.60631465289623621</v>
      </c>
      <c r="C15">
        <f t="shared" si="0"/>
        <v>13</v>
      </c>
      <c r="D15">
        <f t="shared" si="1"/>
        <v>0.12626262626262627</v>
      </c>
      <c r="E15">
        <f t="shared" si="2"/>
        <v>-1.1442372651002066</v>
      </c>
    </row>
    <row r="16" spans="2:5" x14ac:dyDescent="0.3">
      <c r="B16">
        <f>LNs!C40</f>
        <v>-0.59708819027508897</v>
      </c>
      <c r="C16">
        <f t="shared" si="0"/>
        <v>14</v>
      </c>
      <c r="D16">
        <f t="shared" si="1"/>
        <v>0.13636363636363635</v>
      </c>
      <c r="E16">
        <f t="shared" si="2"/>
        <v>-1.096803562093513</v>
      </c>
    </row>
    <row r="17" spans="2:5" x14ac:dyDescent="0.3">
      <c r="B17">
        <f>LNs!C65</f>
        <v>-0.58904665836059089</v>
      </c>
      <c r="C17">
        <f t="shared" si="0"/>
        <v>15</v>
      </c>
      <c r="D17">
        <f t="shared" si="1"/>
        <v>0.14646464646464646</v>
      </c>
      <c r="E17">
        <f t="shared" si="2"/>
        <v>-1.0517172529984806</v>
      </c>
    </row>
    <row r="18" spans="2:5" x14ac:dyDescent="0.3">
      <c r="B18">
        <f>LNs!C36</f>
        <v>-0.56555111720541351</v>
      </c>
      <c r="C18">
        <f t="shared" si="0"/>
        <v>16</v>
      </c>
      <c r="D18">
        <f t="shared" si="1"/>
        <v>0.15656565656565657</v>
      </c>
      <c r="E18">
        <f t="shared" si="2"/>
        <v>-1.0086733576467986</v>
      </c>
    </row>
    <row r="19" spans="2:5" x14ac:dyDescent="0.3">
      <c r="B19">
        <f>LNs!C42</f>
        <v>-0.54377245891477166</v>
      </c>
      <c r="C19">
        <f t="shared" si="0"/>
        <v>17</v>
      </c>
      <c r="D19">
        <f t="shared" si="1"/>
        <v>0.16666666666666666</v>
      </c>
      <c r="E19">
        <f t="shared" si="2"/>
        <v>-0.96742156610170071</v>
      </c>
    </row>
    <row r="20" spans="2:5" x14ac:dyDescent="0.3">
      <c r="B20">
        <f>LNs!C53</f>
        <v>-0.52697194350869503</v>
      </c>
      <c r="C20">
        <f t="shared" si="0"/>
        <v>18</v>
      </c>
      <c r="D20">
        <f t="shared" si="1"/>
        <v>0.17676767676767677</v>
      </c>
      <c r="E20">
        <f t="shared" si="2"/>
        <v>-0.92775368535742475</v>
      </c>
    </row>
    <row r="21" spans="2:5" x14ac:dyDescent="0.3">
      <c r="B21">
        <f>LNs!C63</f>
        <v>-0.52127839748910676</v>
      </c>
      <c r="C21">
        <f t="shared" si="0"/>
        <v>19</v>
      </c>
      <c r="D21">
        <f t="shared" si="1"/>
        <v>0.18686868686868688</v>
      </c>
      <c r="E21">
        <f t="shared" si="2"/>
        <v>-0.88949450753063364</v>
      </c>
    </row>
    <row r="22" spans="2:5" x14ac:dyDescent="0.3">
      <c r="B22">
        <f>LNs!C30</f>
        <v>-0.51530396993898264</v>
      </c>
      <c r="C22">
        <f t="shared" si="0"/>
        <v>20</v>
      </c>
      <c r="D22">
        <f t="shared" si="1"/>
        <v>0.19696969696969696</v>
      </c>
      <c r="E22">
        <f t="shared" si="2"/>
        <v>-0.85249503427469364</v>
      </c>
    </row>
    <row r="23" spans="2:5" x14ac:dyDescent="0.3">
      <c r="B23">
        <f>LNs!C34</f>
        <v>-0.50255822640311931</v>
      </c>
      <c r="C23">
        <f t="shared" si="0"/>
        <v>21</v>
      </c>
      <c r="D23">
        <f t="shared" si="1"/>
        <v>0.20707070707070707</v>
      </c>
      <c r="E23">
        <f t="shared" si="2"/>
        <v>-0.81662736084860543</v>
      </c>
    </row>
    <row r="24" spans="2:5" x14ac:dyDescent="0.3">
      <c r="B24">
        <f>LNs!C71</f>
        <v>-0.50036882053154863</v>
      </c>
      <c r="C24">
        <f t="shared" si="0"/>
        <v>22</v>
      </c>
      <c r="D24">
        <f t="shared" si="1"/>
        <v>0.21717171717171718</v>
      </c>
      <c r="E24">
        <f t="shared" si="2"/>
        <v>-0.78178075276507197</v>
      </c>
    </row>
    <row r="25" spans="2:5" x14ac:dyDescent="0.3">
      <c r="B25">
        <f>LNs!C49</f>
        <v>-0.47845040300759123</v>
      </c>
      <c r="C25">
        <f t="shared" si="0"/>
        <v>23</v>
      </c>
      <c r="D25">
        <f t="shared" si="1"/>
        <v>0.22727272727272727</v>
      </c>
      <c r="E25">
        <f t="shared" si="2"/>
        <v>-0.74785859476330196</v>
      </c>
    </row>
    <row r="26" spans="2:5" x14ac:dyDescent="0.3">
      <c r="B26">
        <f>LNs!C60</f>
        <v>-0.42367745057783202</v>
      </c>
      <c r="C26">
        <f t="shared" si="0"/>
        <v>24</v>
      </c>
      <c r="D26">
        <f t="shared" si="1"/>
        <v>0.23737373737373738</v>
      </c>
      <c r="E26">
        <f t="shared" si="2"/>
        <v>-0.71477598810315091</v>
      </c>
    </row>
    <row r="27" spans="2:5" x14ac:dyDescent="0.3">
      <c r="B27">
        <f>LNs!C69</f>
        <v>-0.38390813821830166</v>
      </c>
      <c r="C27">
        <f t="shared" si="0"/>
        <v>25</v>
      </c>
      <c r="D27">
        <f t="shared" si="1"/>
        <v>0.24747474747474749</v>
      </c>
      <c r="E27">
        <f t="shared" si="2"/>
        <v>-0.68245783666933024</v>
      </c>
    </row>
    <row r="28" spans="2:5" x14ac:dyDescent="0.3">
      <c r="B28">
        <f>LNs!C28</f>
        <v>-0.3253742477478333</v>
      </c>
      <c r="C28">
        <f t="shared" si="0"/>
        <v>26</v>
      </c>
      <c r="D28">
        <f t="shared" si="1"/>
        <v>0.25757575757575757</v>
      </c>
      <c r="E28">
        <f t="shared" si="2"/>
        <v>-0.65083730644447746</v>
      </c>
    </row>
    <row r="29" spans="2:5" x14ac:dyDescent="0.3">
      <c r="B29">
        <f>LNs!C73</f>
        <v>-0.30148354276546119</v>
      </c>
      <c r="C29">
        <f t="shared" si="0"/>
        <v>27</v>
      </c>
      <c r="D29">
        <f t="shared" si="1"/>
        <v>0.26767676767676768</v>
      </c>
      <c r="E29">
        <f t="shared" si="2"/>
        <v>-0.61985457356549389</v>
      </c>
    </row>
    <row r="30" spans="2:5" x14ac:dyDescent="0.3">
      <c r="B30">
        <f>LNs!C32</f>
        <v>-0.29169410992164113</v>
      </c>
      <c r="C30">
        <f t="shared" si="0"/>
        <v>28</v>
      </c>
      <c r="D30">
        <f t="shared" si="1"/>
        <v>0.27777777777777779</v>
      </c>
      <c r="E30">
        <f t="shared" si="2"/>
        <v>-0.58945579784977842</v>
      </c>
    </row>
    <row r="31" spans="2:5" x14ac:dyDescent="0.3">
      <c r="B31">
        <f>LNs!C59</f>
        <v>-0.26531150331231129</v>
      </c>
      <c r="C31">
        <f t="shared" si="0"/>
        <v>29</v>
      </c>
      <c r="D31">
        <f t="shared" si="1"/>
        <v>0.2878787878787879</v>
      </c>
      <c r="E31">
        <f t="shared" si="2"/>
        <v>-0.5595922742274323</v>
      </c>
    </row>
    <row r="32" spans="2:5" x14ac:dyDescent="0.3">
      <c r="B32">
        <f>LNs!C44</f>
        <v>-0.26332512594706475</v>
      </c>
      <c r="C32">
        <f t="shared" si="0"/>
        <v>30</v>
      </c>
      <c r="D32">
        <f t="shared" si="1"/>
        <v>0.29797979797979796</v>
      </c>
      <c r="E32">
        <f t="shared" si="2"/>
        <v>-0.53021972582422794</v>
      </c>
    </row>
    <row r="33" spans="2:5" x14ac:dyDescent="0.3">
      <c r="B33">
        <f>LNs!C74</f>
        <v>-0.25769100119240496</v>
      </c>
      <c r="C33">
        <f t="shared" si="0"/>
        <v>31</v>
      </c>
      <c r="D33">
        <f t="shared" si="1"/>
        <v>0.30808080808080807</v>
      </c>
      <c r="E33">
        <f t="shared" si="2"/>
        <v>-0.50129771076772867</v>
      </c>
    </row>
    <row r="34" spans="2:5" x14ac:dyDescent="0.3">
      <c r="B34">
        <f>LNs!C26</f>
        <v>-0.25545111544262056</v>
      </c>
      <c r="C34">
        <f t="shared" si="0"/>
        <v>32</v>
      </c>
      <c r="D34">
        <f t="shared" si="1"/>
        <v>0.31818181818181818</v>
      </c>
      <c r="E34">
        <f t="shared" si="2"/>
        <v>-0.47278912099226744</v>
      </c>
    </row>
    <row r="35" spans="2:5" x14ac:dyDescent="0.3">
      <c r="B35">
        <f>LNs!C56</f>
        <v>-0.241560863602471</v>
      </c>
      <c r="C35">
        <f t="shared" si="0"/>
        <v>33</v>
      </c>
      <c r="D35">
        <f t="shared" si="1"/>
        <v>0.32828282828282829</v>
      </c>
      <c r="E35">
        <f t="shared" si="2"/>
        <v>-0.4446597559886718</v>
      </c>
    </row>
    <row r="36" spans="2:5" x14ac:dyDescent="0.3">
      <c r="B36">
        <f>LNs!C68</f>
        <v>-0.24149338442709187</v>
      </c>
      <c r="C36">
        <f t="shared" si="0"/>
        <v>34</v>
      </c>
      <c r="D36">
        <f t="shared" si="1"/>
        <v>0.3383838383838384</v>
      </c>
      <c r="E36">
        <f t="shared" si="2"/>
        <v>-0.41687795799540722</v>
      </c>
    </row>
    <row r="37" spans="2:5" x14ac:dyDescent="0.3">
      <c r="B37">
        <f>LNs!C67</f>
        <v>-0.23512630864754366</v>
      </c>
      <c r="C37">
        <f t="shared" si="0"/>
        <v>35</v>
      </c>
      <c r="D37">
        <f t="shared" si="1"/>
        <v>0.34848484848484851</v>
      </c>
      <c r="E37">
        <f t="shared" si="2"/>
        <v>-0.38941429785214438</v>
      </c>
    </row>
    <row r="38" spans="2:5" x14ac:dyDescent="0.3">
      <c r="B38">
        <f>LNs!C58</f>
        <v>-0.22348736040978412</v>
      </c>
      <c r="C38">
        <f t="shared" si="0"/>
        <v>36</v>
      </c>
      <c r="D38">
        <f t="shared" si="1"/>
        <v>0.35858585858585856</v>
      </c>
      <c r="E38">
        <f t="shared" si="2"/>
        <v>-0.3622413028447366</v>
      </c>
    </row>
    <row r="39" spans="2:5" x14ac:dyDescent="0.3">
      <c r="B39">
        <f>LNs!C4</f>
        <v>-0.22273113636894554</v>
      </c>
      <c r="C39">
        <f t="shared" si="0"/>
        <v>37</v>
      </c>
      <c r="D39">
        <f t="shared" si="1"/>
        <v>0.36868686868686867</v>
      </c>
      <c r="E39">
        <f t="shared" si="2"/>
        <v>-0.33533321951439826</v>
      </c>
    </row>
    <row r="40" spans="2:5" x14ac:dyDescent="0.3">
      <c r="B40">
        <f>LNs!C21</f>
        <v>-0.2163044910914565</v>
      </c>
      <c r="C40">
        <f t="shared" si="0"/>
        <v>38</v>
      </c>
      <c r="D40">
        <f t="shared" si="1"/>
        <v>0.37878787878787878</v>
      </c>
      <c r="E40">
        <f t="shared" si="2"/>
        <v>-0.30866580569493407</v>
      </c>
    </row>
    <row r="41" spans="2:5" x14ac:dyDescent="0.3">
      <c r="B41">
        <f>LNs!C52</f>
        <v>-0.1955381119550092</v>
      </c>
      <c r="C41">
        <f t="shared" si="0"/>
        <v>39</v>
      </c>
      <c r="D41">
        <f t="shared" si="1"/>
        <v>0.3888888888888889</v>
      </c>
      <c r="E41">
        <f t="shared" si="2"/>
        <v>-0.28221614706250814</v>
      </c>
    </row>
    <row r="42" spans="2:5" x14ac:dyDescent="0.3">
      <c r="B42">
        <f>LNs!C76</f>
        <v>-0.15575129345941235</v>
      </c>
      <c r="C42">
        <f t="shared" si="0"/>
        <v>40</v>
      </c>
      <c r="D42">
        <f t="shared" si="1"/>
        <v>0.39898989898989901</v>
      </c>
      <c r="E42">
        <f t="shared" si="2"/>
        <v>-0.25596249429406465</v>
      </c>
    </row>
    <row r="43" spans="2:5" x14ac:dyDescent="0.3">
      <c r="B43">
        <f>LNs!C45</f>
        <v>-0.15100313853656253</v>
      </c>
      <c r="C43">
        <f t="shared" si="0"/>
        <v>41</v>
      </c>
      <c r="D43">
        <f t="shared" si="1"/>
        <v>0.40909090909090912</v>
      </c>
      <c r="E43">
        <f t="shared" si="2"/>
        <v>-0.22988411757923208</v>
      </c>
    </row>
    <row r="44" spans="2:5" x14ac:dyDescent="0.3">
      <c r="B44">
        <f>LNs!C55</f>
        <v>-0.12943465287685868</v>
      </c>
      <c r="C44">
        <f t="shared" si="0"/>
        <v>42</v>
      </c>
      <c r="D44">
        <f t="shared" si="1"/>
        <v>0.41919191919191917</v>
      </c>
      <c r="E44">
        <f t="shared" si="2"/>
        <v>-0.20396117575131437</v>
      </c>
    </row>
    <row r="45" spans="2:5" x14ac:dyDescent="0.3">
      <c r="B45">
        <f>LNs!C94</f>
        <v>-0.12412434935361898</v>
      </c>
      <c r="C45">
        <f t="shared" si="0"/>
        <v>43</v>
      </c>
      <c r="D45">
        <f t="shared" si="1"/>
        <v>0.42929292929292928</v>
      </c>
      <c r="E45">
        <f t="shared" si="2"/>
        <v>-0.17817459772241043</v>
      </c>
    </row>
    <row r="46" spans="2:5" x14ac:dyDescent="0.3">
      <c r="B46">
        <f>LNs!C19</f>
        <v>-0.10150130533210587</v>
      </c>
      <c r="C46">
        <f t="shared" si="0"/>
        <v>44</v>
      </c>
      <c r="D46">
        <f t="shared" si="1"/>
        <v>0.43939393939393939</v>
      </c>
      <c r="E46">
        <f t="shared" si="2"/>
        <v>-0.15250597424624437</v>
      </c>
    </row>
    <row r="47" spans="2:5" x14ac:dyDescent="0.3">
      <c r="B47">
        <f>LNs!C48</f>
        <v>-9.4915257796287678E-2</v>
      </c>
      <c r="C47">
        <f t="shared" si="0"/>
        <v>45</v>
      </c>
      <c r="D47">
        <f t="shared" si="1"/>
        <v>0.4494949494949495</v>
      </c>
      <c r="E47">
        <f t="shared" si="2"/>
        <v>-0.12693745830564304</v>
      </c>
    </row>
    <row r="48" spans="2:5" x14ac:dyDescent="0.3">
      <c r="B48">
        <f>LNs!C22</f>
        <v>-7.0152114578230063E-2</v>
      </c>
      <c r="C48">
        <f t="shared" si="0"/>
        <v>46</v>
      </c>
      <c r="D48">
        <f t="shared" si="1"/>
        <v>0.45959595959595961</v>
      </c>
      <c r="E48">
        <f t="shared" si="2"/>
        <v>-0.1014516726419474</v>
      </c>
    </row>
    <row r="49" spans="2:5" x14ac:dyDescent="0.3">
      <c r="B49">
        <f>LNs!C43</f>
        <v>-5.3300570777434969E-2</v>
      </c>
      <c r="C49">
        <f t="shared" si="0"/>
        <v>47</v>
      </c>
      <c r="D49">
        <f t="shared" si="1"/>
        <v>0.46969696969696972</v>
      </c>
      <c r="E49">
        <f t="shared" si="2"/>
        <v>-7.60316231203884E-2</v>
      </c>
    </row>
    <row r="50" spans="2:5" x14ac:dyDescent="0.3">
      <c r="B50">
        <f>LNs!C39</f>
        <v>-3.7970854552054956E-2</v>
      </c>
      <c r="C50">
        <f t="shared" si="0"/>
        <v>48</v>
      </c>
      <c r="D50">
        <f t="shared" si="1"/>
        <v>0.47979797979797978</v>
      </c>
      <c r="E50">
        <f t="shared" si="2"/>
        <v>-5.0660616765876576E-2</v>
      </c>
    </row>
    <row r="51" spans="2:5" x14ac:dyDescent="0.3">
      <c r="B51">
        <f>LNs!C46</f>
        <v>-3.2053260818063777E-2</v>
      </c>
      <c r="C51">
        <f t="shared" si="0"/>
        <v>49</v>
      </c>
      <c r="D51">
        <f t="shared" si="1"/>
        <v>0.48989898989898989</v>
      </c>
      <c r="E51">
        <f t="shared" si="2"/>
        <v>-2.5322183413346296E-2</v>
      </c>
    </row>
    <row r="52" spans="2:5" x14ac:dyDescent="0.3">
      <c r="B52">
        <f>LNs!C90</f>
        <v>-2.1634343865151645E-2</v>
      </c>
      <c r="C52">
        <f t="shared" si="0"/>
        <v>50</v>
      </c>
      <c r="D52">
        <f t="shared" si="1"/>
        <v>0.5</v>
      </c>
      <c r="E52">
        <f t="shared" si="2"/>
        <v>0</v>
      </c>
    </row>
    <row r="53" spans="2:5" x14ac:dyDescent="0.3">
      <c r="B53">
        <f>LNs!C51</f>
        <v>-1.2181898950123707E-2</v>
      </c>
      <c r="C53">
        <f t="shared" si="0"/>
        <v>51</v>
      </c>
      <c r="D53">
        <f t="shared" si="1"/>
        <v>0.51010101010101006</v>
      </c>
      <c r="E53">
        <f t="shared" si="2"/>
        <v>2.5322183413346164E-2</v>
      </c>
    </row>
    <row r="54" spans="2:5" x14ac:dyDescent="0.3">
      <c r="B54">
        <f>LNs!C27</f>
        <v>2.8120875716654753E-2</v>
      </c>
      <c r="C54">
        <f t="shared" si="0"/>
        <v>52</v>
      </c>
      <c r="D54">
        <f t="shared" si="1"/>
        <v>0.52020202020202022</v>
      </c>
      <c r="E54">
        <f t="shared" si="2"/>
        <v>5.0660616765876576E-2</v>
      </c>
    </row>
    <row r="55" spans="2:5" x14ac:dyDescent="0.3">
      <c r="B55">
        <f>LNs!C50</f>
        <v>3.0257587160697031E-2</v>
      </c>
      <c r="C55">
        <f t="shared" si="0"/>
        <v>53</v>
      </c>
      <c r="D55">
        <f t="shared" si="1"/>
        <v>0.53030303030303028</v>
      </c>
      <c r="E55">
        <f t="shared" si="2"/>
        <v>7.60316231203884E-2</v>
      </c>
    </row>
    <row r="56" spans="2:5" x14ac:dyDescent="0.3">
      <c r="B56">
        <f>LNs!C82</f>
        <v>4.3902046287128751E-2</v>
      </c>
      <c r="C56">
        <f t="shared" si="0"/>
        <v>54</v>
      </c>
      <c r="D56">
        <f t="shared" si="1"/>
        <v>0.54040404040404044</v>
      </c>
      <c r="E56">
        <f t="shared" si="2"/>
        <v>0.10145167264194754</v>
      </c>
    </row>
    <row r="57" spans="2:5" x14ac:dyDescent="0.3">
      <c r="B57">
        <f>LNs!C25</f>
        <v>4.6425465710644195E-2</v>
      </c>
      <c r="C57">
        <f t="shared" si="0"/>
        <v>55</v>
      </c>
      <c r="D57">
        <f t="shared" si="1"/>
        <v>0.5505050505050505</v>
      </c>
      <c r="E57">
        <f t="shared" si="2"/>
        <v>0.12693745830564304</v>
      </c>
    </row>
    <row r="58" spans="2:5" x14ac:dyDescent="0.3">
      <c r="B58">
        <f>LNs!C24</f>
        <v>5.2677835468045303E-2</v>
      </c>
      <c r="C58">
        <f t="shared" si="0"/>
        <v>56</v>
      </c>
      <c r="D58">
        <f t="shared" si="1"/>
        <v>0.56060606060606055</v>
      </c>
      <c r="E58">
        <f t="shared" si="2"/>
        <v>0.15250597424624424</v>
      </c>
    </row>
    <row r="59" spans="2:5" x14ac:dyDescent="0.3">
      <c r="B59">
        <f>LNs!C78</f>
        <v>9.0023502647588557E-2</v>
      </c>
      <c r="C59">
        <f t="shared" si="0"/>
        <v>57</v>
      </c>
      <c r="D59">
        <f t="shared" si="1"/>
        <v>0.57070707070707072</v>
      </c>
      <c r="E59">
        <f t="shared" si="2"/>
        <v>0.17817459772241043</v>
      </c>
    </row>
    <row r="60" spans="2:5" x14ac:dyDescent="0.3">
      <c r="B60">
        <f>LNs!C57</f>
        <v>9.1712807923199441E-2</v>
      </c>
      <c r="C60">
        <f t="shared" si="0"/>
        <v>58</v>
      </c>
      <c r="D60">
        <f t="shared" si="1"/>
        <v>0.58080808080808077</v>
      </c>
      <c r="E60">
        <f t="shared" si="2"/>
        <v>0.2039611757513142</v>
      </c>
    </row>
    <row r="61" spans="2:5" x14ac:dyDescent="0.3">
      <c r="B61">
        <f>LNs!C96</f>
        <v>0.11060175632779577</v>
      </c>
      <c r="C61">
        <f t="shared" si="0"/>
        <v>59</v>
      </c>
      <c r="D61">
        <f t="shared" si="1"/>
        <v>0.59090909090909094</v>
      </c>
      <c r="E61">
        <f t="shared" si="2"/>
        <v>0.22988411757923222</v>
      </c>
    </row>
    <row r="62" spans="2:5" x14ac:dyDescent="0.3">
      <c r="B62">
        <f>LNs!C83</f>
        <v>0.13486300563425319</v>
      </c>
      <c r="C62">
        <f t="shared" si="0"/>
        <v>60</v>
      </c>
      <c r="D62">
        <f t="shared" si="1"/>
        <v>0.60101010101010099</v>
      </c>
      <c r="E62">
        <f t="shared" si="2"/>
        <v>0.25596249429406465</v>
      </c>
    </row>
    <row r="63" spans="2:5" x14ac:dyDescent="0.3">
      <c r="B63">
        <f>LNs!C75</f>
        <v>0.13889199886661865</v>
      </c>
      <c r="C63">
        <f t="shared" si="0"/>
        <v>61</v>
      </c>
      <c r="D63">
        <f t="shared" si="1"/>
        <v>0.61111111111111116</v>
      </c>
      <c r="E63">
        <f t="shared" si="2"/>
        <v>0.28221614706250825</v>
      </c>
    </row>
    <row r="64" spans="2:5" x14ac:dyDescent="0.3">
      <c r="B64">
        <f>LNs!C92</f>
        <v>0.14355474061385484</v>
      </c>
      <c r="C64">
        <f t="shared" si="0"/>
        <v>62</v>
      </c>
      <c r="D64">
        <f t="shared" si="1"/>
        <v>0.62121212121212122</v>
      </c>
      <c r="E64">
        <f t="shared" si="2"/>
        <v>0.30866580569493407</v>
      </c>
    </row>
    <row r="65" spans="2:5" x14ac:dyDescent="0.3">
      <c r="B65">
        <f>LNs!C95</f>
        <v>0.15506169329986921</v>
      </c>
      <c r="C65">
        <f t="shared" si="0"/>
        <v>63</v>
      </c>
      <c r="D65">
        <f t="shared" si="1"/>
        <v>0.63131313131313127</v>
      </c>
      <c r="E65">
        <f t="shared" si="2"/>
        <v>0.3353332195143981</v>
      </c>
    </row>
    <row r="66" spans="2:5" x14ac:dyDescent="0.3">
      <c r="B66">
        <f>LNs!C91</f>
        <v>0.16823108403526271</v>
      </c>
      <c r="C66">
        <f t="shared" si="0"/>
        <v>64</v>
      </c>
      <c r="D66">
        <f t="shared" si="1"/>
        <v>0.64141414141414144</v>
      </c>
      <c r="E66">
        <f t="shared" si="2"/>
        <v>0.3622413028447366</v>
      </c>
    </row>
    <row r="67" spans="2:5" x14ac:dyDescent="0.3">
      <c r="B67">
        <f>LNs!C89</f>
        <v>0.18409498334309626</v>
      </c>
      <c r="C67">
        <f t="shared" si="0"/>
        <v>65</v>
      </c>
      <c r="D67">
        <f t="shared" si="1"/>
        <v>0.65151515151515149</v>
      </c>
      <c r="E67">
        <f t="shared" si="2"/>
        <v>0.38941429785214438</v>
      </c>
    </row>
    <row r="68" spans="2:5" x14ac:dyDescent="0.3">
      <c r="B68">
        <f>LNs!C5</f>
        <v>0.19780933293885997</v>
      </c>
      <c r="C68">
        <f t="shared" ref="C68:C97" si="3">ROW()-2</f>
        <v>66</v>
      </c>
      <c r="D68">
        <f t="shared" ref="D68:D101" si="4">(C68-0.5)/99</f>
        <v>0.66161616161616166</v>
      </c>
      <c r="E68">
        <f t="shared" ref="E68:E101" si="5">NORMSINV(D68)</f>
        <v>0.41687795799540739</v>
      </c>
    </row>
    <row r="69" spans="2:5" x14ac:dyDescent="0.3">
      <c r="B69">
        <f>LNs!C80</f>
        <v>0.20491440544658912</v>
      </c>
      <c r="C69">
        <f t="shared" si="3"/>
        <v>67</v>
      </c>
      <c r="D69">
        <f t="shared" si="4"/>
        <v>0.67171717171717171</v>
      </c>
      <c r="E69">
        <f t="shared" si="5"/>
        <v>0.4446597559886718</v>
      </c>
    </row>
    <row r="70" spans="2:5" x14ac:dyDescent="0.3">
      <c r="B70">
        <f>LNs!C81</f>
        <v>0.20904462693470807</v>
      </c>
      <c r="C70">
        <f t="shared" si="3"/>
        <v>68</v>
      </c>
      <c r="D70">
        <f t="shared" si="4"/>
        <v>0.68181818181818177</v>
      </c>
      <c r="E70">
        <f t="shared" si="5"/>
        <v>0.47278912099226728</v>
      </c>
    </row>
    <row r="71" spans="2:5" x14ac:dyDescent="0.3">
      <c r="B71">
        <f>LNs!C93</f>
        <v>0.22839374489633771</v>
      </c>
      <c r="C71">
        <f t="shared" si="3"/>
        <v>69</v>
      </c>
      <c r="D71">
        <f t="shared" si="4"/>
        <v>0.69191919191919193</v>
      </c>
      <c r="E71">
        <f t="shared" si="5"/>
        <v>0.50129771076772867</v>
      </c>
    </row>
    <row r="72" spans="2:5" x14ac:dyDescent="0.3">
      <c r="B72">
        <f>LNs!C47</f>
        <v>0.25815541969343636</v>
      </c>
      <c r="C72">
        <f t="shared" si="3"/>
        <v>70</v>
      </c>
      <c r="D72">
        <f t="shared" si="4"/>
        <v>0.70202020202020199</v>
      </c>
      <c r="E72">
        <f t="shared" si="5"/>
        <v>0.53021972582422772</v>
      </c>
    </row>
    <row r="73" spans="2:5" x14ac:dyDescent="0.3">
      <c r="B73">
        <f>LNs!C84</f>
        <v>0.28162375786781696</v>
      </c>
      <c r="C73">
        <f t="shared" si="3"/>
        <v>71</v>
      </c>
      <c r="D73">
        <f t="shared" si="4"/>
        <v>0.71212121212121215</v>
      </c>
      <c r="E73">
        <f t="shared" si="5"/>
        <v>0.55959227422743252</v>
      </c>
    </row>
    <row r="74" spans="2:5" x14ac:dyDescent="0.3">
      <c r="B74">
        <f>LNs!C18</f>
        <v>0.29635683764161586</v>
      </c>
      <c r="C74">
        <f t="shared" si="3"/>
        <v>72</v>
      </c>
      <c r="D74">
        <f t="shared" si="4"/>
        <v>0.72222222222222221</v>
      </c>
      <c r="E74">
        <f t="shared" si="5"/>
        <v>0.58945579784977842</v>
      </c>
    </row>
    <row r="75" spans="2:5" x14ac:dyDescent="0.3">
      <c r="B75">
        <f>LNs!C20</f>
        <v>0.30932124755526214</v>
      </c>
      <c r="C75">
        <f t="shared" si="3"/>
        <v>73</v>
      </c>
      <c r="D75">
        <f t="shared" si="4"/>
        <v>0.73232323232323238</v>
      </c>
      <c r="E75">
        <f t="shared" si="5"/>
        <v>0.61985457356549423</v>
      </c>
    </row>
    <row r="76" spans="2:5" x14ac:dyDescent="0.3">
      <c r="B76">
        <f>LNs!C13</f>
        <v>0.30957809530100044</v>
      </c>
      <c r="C76">
        <f t="shared" si="3"/>
        <v>74</v>
      </c>
      <c r="D76">
        <f t="shared" si="4"/>
        <v>0.74242424242424243</v>
      </c>
      <c r="E76">
        <f t="shared" si="5"/>
        <v>0.65083730644447746</v>
      </c>
    </row>
    <row r="77" spans="2:5" x14ac:dyDescent="0.3">
      <c r="B77">
        <f>LNs!C100</f>
        <v>0.36437918987422074</v>
      </c>
      <c r="C77">
        <f t="shared" si="3"/>
        <v>75</v>
      </c>
      <c r="D77">
        <f t="shared" si="4"/>
        <v>0.75252525252525249</v>
      </c>
      <c r="E77">
        <f t="shared" si="5"/>
        <v>0.68245783666933024</v>
      </c>
    </row>
    <row r="78" spans="2:5" x14ac:dyDescent="0.3">
      <c r="B78">
        <f>LNs!C79</f>
        <v>0.37262506180177329</v>
      </c>
      <c r="C78">
        <f t="shared" si="3"/>
        <v>76</v>
      </c>
      <c r="D78">
        <f t="shared" si="4"/>
        <v>0.76262626262626265</v>
      </c>
      <c r="E78">
        <f t="shared" si="5"/>
        <v>0.71477598810315091</v>
      </c>
    </row>
    <row r="79" spans="2:5" x14ac:dyDescent="0.3">
      <c r="B79">
        <f>LNs!C64</f>
        <v>0.38768124174223734</v>
      </c>
      <c r="C79">
        <f t="shared" si="3"/>
        <v>77</v>
      </c>
      <c r="D79">
        <f t="shared" si="4"/>
        <v>0.77272727272727271</v>
      </c>
      <c r="E79">
        <f t="shared" si="5"/>
        <v>0.74785859476330196</v>
      </c>
    </row>
    <row r="80" spans="2:5" x14ac:dyDescent="0.3">
      <c r="B80">
        <f>LNs!C101</f>
        <v>0.45141950926788976</v>
      </c>
      <c r="C80">
        <f t="shared" si="3"/>
        <v>78</v>
      </c>
      <c r="D80">
        <f t="shared" si="4"/>
        <v>0.78282828282828287</v>
      </c>
      <c r="E80">
        <f t="shared" si="5"/>
        <v>0.78178075276507275</v>
      </c>
    </row>
    <row r="81" spans="2:5" x14ac:dyDescent="0.3">
      <c r="B81">
        <f>LNs!C102</f>
        <v>0.47160859060593824</v>
      </c>
      <c r="C81">
        <f t="shared" si="3"/>
        <v>79</v>
      </c>
      <c r="D81">
        <f t="shared" si="4"/>
        <v>0.79292929292929293</v>
      </c>
      <c r="E81">
        <f t="shared" si="5"/>
        <v>0.81662736084860543</v>
      </c>
    </row>
    <row r="82" spans="2:5" x14ac:dyDescent="0.3">
      <c r="B82">
        <f>LNs!C12</f>
        <v>0.49144706653938713</v>
      </c>
      <c r="C82">
        <f t="shared" si="3"/>
        <v>80</v>
      </c>
      <c r="D82">
        <f t="shared" si="4"/>
        <v>0.80303030303030298</v>
      </c>
      <c r="E82">
        <f t="shared" si="5"/>
        <v>0.85249503427469353</v>
      </c>
    </row>
    <row r="83" spans="2:5" x14ac:dyDescent="0.3">
      <c r="B83">
        <f>LNs!C23</f>
        <v>0.49301189729465528</v>
      </c>
      <c r="C83">
        <f t="shared" si="3"/>
        <v>81</v>
      </c>
      <c r="D83">
        <f t="shared" si="4"/>
        <v>0.81313131313131315</v>
      </c>
      <c r="E83">
        <f t="shared" si="5"/>
        <v>0.88949450753063364</v>
      </c>
    </row>
    <row r="84" spans="2:5" x14ac:dyDescent="0.3">
      <c r="B84">
        <f>LNs!C6</f>
        <v>0.4957992917893474</v>
      </c>
      <c r="C84">
        <f t="shared" si="3"/>
        <v>82</v>
      </c>
      <c r="D84">
        <f t="shared" si="4"/>
        <v>0.8232323232323232</v>
      </c>
      <c r="E84">
        <f t="shared" si="5"/>
        <v>0.92775368535742475</v>
      </c>
    </row>
    <row r="85" spans="2:5" x14ac:dyDescent="0.3">
      <c r="B85">
        <f>LNs!C98</f>
        <v>0.50590754984202291</v>
      </c>
      <c r="C85">
        <f t="shared" si="3"/>
        <v>83</v>
      </c>
      <c r="D85">
        <f t="shared" si="4"/>
        <v>0.83333333333333337</v>
      </c>
      <c r="E85">
        <f t="shared" si="5"/>
        <v>0.96742156610170071</v>
      </c>
    </row>
    <row r="86" spans="2:5" x14ac:dyDescent="0.3">
      <c r="B86">
        <f>LNs!C77</f>
        <v>0.53986195944856175</v>
      </c>
      <c r="C86">
        <f t="shared" si="3"/>
        <v>84</v>
      </c>
      <c r="D86">
        <f t="shared" si="4"/>
        <v>0.84343434343434343</v>
      </c>
      <c r="E86">
        <f t="shared" si="5"/>
        <v>1.0086733576467986</v>
      </c>
    </row>
    <row r="87" spans="2:5" x14ac:dyDescent="0.3">
      <c r="B87">
        <f>LNs!C87</f>
        <v>0.56354520052908474</v>
      </c>
      <c r="C87">
        <f t="shared" si="3"/>
        <v>85</v>
      </c>
      <c r="D87">
        <f t="shared" si="4"/>
        <v>0.85353535353535348</v>
      </c>
      <c r="E87">
        <f t="shared" si="5"/>
        <v>1.0517172529984837</v>
      </c>
    </row>
    <row r="88" spans="2:5" x14ac:dyDescent="0.3">
      <c r="B88">
        <f>LNs!C7</f>
        <v>0.57123375156105072</v>
      </c>
      <c r="C88">
        <f t="shared" si="3"/>
        <v>86</v>
      </c>
      <c r="D88">
        <f t="shared" si="4"/>
        <v>0.86363636363636365</v>
      </c>
      <c r="E88">
        <f t="shared" si="5"/>
        <v>1.096803562093513</v>
      </c>
    </row>
    <row r="89" spans="2:5" x14ac:dyDescent="0.3">
      <c r="B89">
        <f>LNs!C99</f>
        <v>0.57594460140608594</v>
      </c>
      <c r="C89">
        <f t="shared" si="3"/>
        <v>87</v>
      </c>
      <c r="D89">
        <f t="shared" si="4"/>
        <v>0.8737373737373737</v>
      </c>
      <c r="E89">
        <f t="shared" si="5"/>
        <v>1.1442372651002066</v>
      </c>
    </row>
    <row r="90" spans="2:5" x14ac:dyDescent="0.3">
      <c r="B90">
        <f>LNs!C17</f>
        <v>0.64681524247545641</v>
      </c>
      <c r="C90">
        <f t="shared" si="3"/>
        <v>88</v>
      </c>
      <c r="D90">
        <f t="shared" si="4"/>
        <v>0.88383838383838387</v>
      </c>
      <c r="E90">
        <f t="shared" si="5"/>
        <v>1.1943956635681565</v>
      </c>
    </row>
    <row r="91" spans="2:5" x14ac:dyDescent="0.3">
      <c r="B91">
        <f>LNs!C11</f>
        <v>0.70682816761580947</v>
      </c>
      <c r="C91">
        <f t="shared" si="3"/>
        <v>89</v>
      </c>
      <c r="D91">
        <f t="shared" si="4"/>
        <v>0.89393939393939392</v>
      </c>
      <c r="E91">
        <f t="shared" si="5"/>
        <v>1.2477538553513243</v>
      </c>
    </row>
    <row r="92" spans="2:5" x14ac:dyDescent="0.3">
      <c r="B92">
        <f>LNs!C15</f>
        <v>0.79253087052646387</v>
      </c>
      <c r="C92">
        <f t="shared" si="3"/>
        <v>90</v>
      </c>
      <c r="D92">
        <f t="shared" si="4"/>
        <v>0.90404040404040409</v>
      </c>
      <c r="E92">
        <f t="shared" si="5"/>
        <v>1.3049226377527239</v>
      </c>
    </row>
    <row r="93" spans="2:5" x14ac:dyDescent="0.3">
      <c r="B93">
        <f>LNs!C8</f>
        <v>0.80522061408225032</v>
      </c>
      <c r="C93">
        <f t="shared" si="3"/>
        <v>91</v>
      </c>
      <c r="D93">
        <f t="shared" si="4"/>
        <v>0.91414141414141414</v>
      </c>
      <c r="E93">
        <f t="shared" si="5"/>
        <v>1.3667069718079636</v>
      </c>
    </row>
    <row r="94" spans="2:5" x14ac:dyDescent="0.3">
      <c r="B94">
        <f>LNs!C88</f>
        <v>0.80784546325440454</v>
      </c>
      <c r="C94">
        <f t="shared" si="3"/>
        <v>92</v>
      </c>
      <c r="D94">
        <f t="shared" si="4"/>
        <v>0.9242424242424242</v>
      </c>
      <c r="E94">
        <f t="shared" si="5"/>
        <v>1.434200159686378</v>
      </c>
    </row>
    <row r="95" spans="2:5" x14ac:dyDescent="0.3">
      <c r="B95">
        <f>LNs!C16</f>
        <v>0.93684993563926411</v>
      </c>
      <c r="C95">
        <f t="shared" si="3"/>
        <v>93</v>
      </c>
      <c r="D95">
        <f t="shared" si="4"/>
        <v>0.93434343434343436</v>
      </c>
      <c r="E95">
        <f t="shared" si="5"/>
        <v>1.5089438550380383</v>
      </c>
    </row>
    <row r="96" spans="2:5" x14ac:dyDescent="0.3">
      <c r="B96">
        <f>LNs!C86</f>
        <v>0.95228702138713761</v>
      </c>
      <c r="C96">
        <f t="shared" si="3"/>
        <v>94</v>
      </c>
      <c r="D96">
        <f t="shared" si="4"/>
        <v>0.94444444444444442</v>
      </c>
      <c r="E96">
        <f t="shared" si="5"/>
        <v>1.59321881802305</v>
      </c>
    </row>
    <row r="97" spans="2:5" x14ac:dyDescent="0.3">
      <c r="B97">
        <f>LNs!C14</f>
        <v>0.96021191893208324</v>
      </c>
      <c r="C97">
        <f t="shared" si="3"/>
        <v>95</v>
      </c>
      <c r="D97">
        <f t="shared" si="4"/>
        <v>0.95454545454545459</v>
      </c>
      <c r="E97">
        <f t="shared" si="5"/>
        <v>1.6906216295848984</v>
      </c>
    </row>
    <row r="98" spans="2:5" x14ac:dyDescent="0.3">
      <c r="B98">
        <f>LNs!C97</f>
        <v>0.96301399957921918</v>
      </c>
      <c r="C98">
        <f>ROW()-2</f>
        <v>96</v>
      </c>
      <c r="D98">
        <f t="shared" si="4"/>
        <v>0.96464646464646464</v>
      </c>
      <c r="E98">
        <f t="shared" si="5"/>
        <v>1.807354196799112</v>
      </c>
    </row>
    <row r="99" spans="2:5" x14ac:dyDescent="0.3">
      <c r="B99">
        <f>LNs!C9</f>
        <v>1.059070724047501</v>
      </c>
      <c r="C99">
        <f>ROW()-2</f>
        <v>97</v>
      </c>
      <c r="D99">
        <f t="shared" si="4"/>
        <v>0.9747474747474747</v>
      </c>
      <c r="E99">
        <f t="shared" si="5"/>
        <v>1.9556614355881674</v>
      </c>
    </row>
    <row r="100" spans="2:5" x14ac:dyDescent="0.3">
      <c r="B100">
        <f>LNs!C85</f>
        <v>1.0973147806017989</v>
      </c>
      <c r="C100">
        <f>ROW()-2</f>
        <v>98</v>
      </c>
      <c r="D100">
        <f t="shared" si="4"/>
        <v>0.98484848484848486</v>
      </c>
      <c r="E100">
        <f t="shared" si="5"/>
        <v>2.166106752892329</v>
      </c>
    </row>
    <row r="101" spans="2:5" x14ac:dyDescent="0.3">
      <c r="B101">
        <f>LNs!C10</f>
        <v>1.2376464300284662</v>
      </c>
      <c r="C101">
        <f>ROW()-2</f>
        <v>99</v>
      </c>
      <c r="D101">
        <f t="shared" si="4"/>
        <v>0.99494949494949492</v>
      </c>
      <c r="E101">
        <f t="shared" si="5"/>
        <v>2.5723521109428868</v>
      </c>
    </row>
  </sheetData>
  <sortState xmlns:xlrd2="http://schemas.microsoft.com/office/spreadsheetml/2017/richdata2" ref="B3:C101">
    <sortCondition ref="B3:B101"/>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0900-4A37-42B9-B48E-529E3217D32E}">
  <dimension ref="B2:E101"/>
  <sheetViews>
    <sheetView workbookViewId="0">
      <selection activeCell="H25" sqref="H25"/>
    </sheetView>
  </sheetViews>
  <sheetFormatPr defaultRowHeight="14.4" x14ac:dyDescent="0.3"/>
  <cols>
    <col min="4" max="4" width="14.33203125" bestFit="1" customWidth="1"/>
    <col min="5" max="5" width="17.88671875" customWidth="1"/>
  </cols>
  <sheetData>
    <row r="2" spans="2:5" x14ac:dyDescent="0.3">
      <c r="B2" t="s">
        <v>9</v>
      </c>
      <c r="C2" t="s">
        <v>4</v>
      </c>
      <c r="D2" t="s">
        <v>5</v>
      </c>
      <c r="E2" t="s">
        <v>6</v>
      </c>
    </row>
    <row r="3" spans="2:5" x14ac:dyDescent="0.3">
      <c r="B3">
        <f>LNs!D41</f>
        <v>-1.0109696109906989</v>
      </c>
      <c r="C3">
        <v>1</v>
      </c>
      <c r="D3">
        <v>5.0505050505050509E-3</v>
      </c>
      <c r="E3">
        <v>-2.5723521109428895</v>
      </c>
    </row>
    <row r="4" spans="2:5" x14ac:dyDescent="0.3">
      <c r="B4">
        <f>LNs!D29</f>
        <v>-0.92986748023806032</v>
      </c>
      <c r="C4">
        <v>2</v>
      </c>
      <c r="D4">
        <v>1.5151515151515152E-2</v>
      </c>
      <c r="E4">
        <v>-2.1661067528923286</v>
      </c>
    </row>
    <row r="5" spans="2:5" x14ac:dyDescent="0.3">
      <c r="B5">
        <f>LNs!D31</f>
        <v>-0.72093778698150823</v>
      </c>
      <c r="C5">
        <v>3</v>
      </c>
      <c r="D5">
        <v>2.5252525252525252E-2</v>
      </c>
      <c r="E5">
        <v>-1.9556614355881679</v>
      </c>
    </row>
    <row r="6" spans="2:5" x14ac:dyDescent="0.3">
      <c r="B6">
        <f>LNs!D54</f>
        <v>-0.72089049180303721</v>
      </c>
      <c r="C6">
        <v>4</v>
      </c>
      <c r="D6">
        <v>3.5353535353535352E-2</v>
      </c>
      <c r="E6">
        <v>-1.807354196799112</v>
      </c>
    </row>
    <row r="7" spans="2:5" x14ac:dyDescent="0.3">
      <c r="B7">
        <f>LNs!D62</f>
        <v>-0.70422835057076283</v>
      </c>
      <c r="C7">
        <v>5</v>
      </c>
      <c r="D7">
        <v>4.5454545454545456E-2</v>
      </c>
      <c r="E7">
        <v>-1.6906216295848977</v>
      </c>
    </row>
    <row r="8" spans="2:5" x14ac:dyDescent="0.3">
      <c r="B8">
        <f>LNs!D66</f>
        <v>-0.66427987948615563</v>
      </c>
      <c r="C8">
        <v>6</v>
      </c>
      <c r="D8">
        <v>5.5555555555555552E-2</v>
      </c>
      <c r="E8">
        <v>-1.5932188180230502</v>
      </c>
    </row>
    <row r="9" spans="2:5" x14ac:dyDescent="0.3">
      <c r="B9">
        <f>LNs!D33</f>
        <v>-0.64069515775753438</v>
      </c>
      <c r="C9">
        <v>7</v>
      </c>
      <c r="D9">
        <v>6.5656565656565663E-2</v>
      </c>
      <c r="E9">
        <v>-1.5089438550380374</v>
      </c>
    </row>
    <row r="10" spans="2:5" x14ac:dyDescent="0.3">
      <c r="B10">
        <f>LNs!D35</f>
        <v>-0.62779773830779528</v>
      </c>
      <c r="C10">
        <v>8</v>
      </c>
      <c r="D10">
        <v>7.575757575757576E-2</v>
      </c>
      <c r="E10">
        <v>-1.4342001596863787</v>
      </c>
    </row>
    <row r="11" spans="2:5" x14ac:dyDescent="0.3">
      <c r="B11">
        <f>LNs!D38</f>
        <v>-0.60797549476491031</v>
      </c>
      <c r="C11">
        <v>9</v>
      </c>
      <c r="D11">
        <v>8.5858585858585856E-2</v>
      </c>
      <c r="E11">
        <v>-1.3667069718079636</v>
      </c>
    </row>
    <row r="12" spans="2:5" x14ac:dyDescent="0.3">
      <c r="B12">
        <f>LNs!D42</f>
        <v>-0.58416363600468324</v>
      </c>
      <c r="C12">
        <v>10</v>
      </c>
      <c r="D12">
        <v>9.5959595959595953E-2</v>
      </c>
      <c r="E12">
        <v>-1.304922637752725</v>
      </c>
    </row>
    <row r="13" spans="2:5" x14ac:dyDescent="0.3">
      <c r="B13">
        <f>LNs!D40</f>
        <v>-0.5804311829076968</v>
      </c>
      <c r="C13">
        <v>11</v>
      </c>
      <c r="D13">
        <v>0.10606060606060606</v>
      </c>
      <c r="E13">
        <v>-1.2477538553513243</v>
      </c>
    </row>
    <row r="14" spans="2:5" x14ac:dyDescent="0.3">
      <c r="B14">
        <f>LNs!D36</f>
        <v>-0.57576956040665561</v>
      </c>
      <c r="C14">
        <v>12</v>
      </c>
      <c r="D14">
        <v>0.11616161616161616</v>
      </c>
      <c r="E14">
        <v>-1.1943956635681565</v>
      </c>
    </row>
    <row r="15" spans="2:5" x14ac:dyDescent="0.3">
      <c r="B15">
        <f>LNs!D65</f>
        <v>-0.56777170720845715</v>
      </c>
      <c r="C15">
        <v>13</v>
      </c>
      <c r="D15">
        <v>0.12626262626262627</v>
      </c>
      <c r="E15">
        <v>-1.1442372651002066</v>
      </c>
    </row>
    <row r="16" spans="2:5" x14ac:dyDescent="0.3">
      <c r="B16">
        <f>LNs!D37</f>
        <v>-0.56585219395320663</v>
      </c>
      <c r="C16">
        <v>14</v>
      </c>
      <c r="D16">
        <v>0.13636363636363635</v>
      </c>
      <c r="E16">
        <v>-1.096803562093513</v>
      </c>
    </row>
    <row r="17" spans="2:5" x14ac:dyDescent="0.3">
      <c r="B17">
        <f>LNs!D72</f>
        <v>-0.56525189096702455</v>
      </c>
      <c r="C17">
        <v>15</v>
      </c>
      <c r="D17">
        <v>0.14646464646464646</v>
      </c>
      <c r="E17">
        <v>-1.0517172529984806</v>
      </c>
    </row>
    <row r="18" spans="2:5" x14ac:dyDescent="0.3">
      <c r="B18">
        <f>LNs!D49</f>
        <v>-0.55092218703069262</v>
      </c>
      <c r="C18">
        <v>16</v>
      </c>
      <c r="D18">
        <v>0.15656565656565657</v>
      </c>
      <c r="E18">
        <v>-1.0086733576467986</v>
      </c>
    </row>
    <row r="19" spans="2:5" x14ac:dyDescent="0.3">
      <c r="B19">
        <f>LNs!D70</f>
        <v>-0.52820409171216876</v>
      </c>
      <c r="C19">
        <v>17</v>
      </c>
      <c r="D19">
        <v>0.16666666666666666</v>
      </c>
      <c r="E19">
        <v>-0.96742156610170071</v>
      </c>
    </row>
    <row r="20" spans="2:5" x14ac:dyDescent="0.3">
      <c r="B20">
        <f>LNs!D61</f>
        <v>-0.51470982418173861</v>
      </c>
      <c r="C20">
        <v>18</v>
      </c>
      <c r="D20">
        <v>0.17676767676767677</v>
      </c>
      <c r="E20">
        <v>-0.92775368535742475</v>
      </c>
    </row>
    <row r="21" spans="2:5" x14ac:dyDescent="0.3">
      <c r="B21">
        <f>LNs!D30</f>
        <v>-0.49580073156038379</v>
      </c>
      <c r="C21">
        <v>19</v>
      </c>
      <c r="D21">
        <v>0.18686868686868688</v>
      </c>
      <c r="E21">
        <v>-0.88949450753063364</v>
      </c>
    </row>
    <row r="22" spans="2:5" x14ac:dyDescent="0.3">
      <c r="B22">
        <f>LNs!D69</f>
        <v>-0.45587826361580691</v>
      </c>
      <c r="C22">
        <v>20</v>
      </c>
      <c r="D22">
        <v>0.19696969696969696</v>
      </c>
      <c r="E22">
        <v>-0.85249503427469364</v>
      </c>
    </row>
    <row r="23" spans="2:5" x14ac:dyDescent="0.3">
      <c r="B23">
        <f>LNs!D71</f>
        <v>-0.44934176335764831</v>
      </c>
      <c r="C23">
        <v>21</v>
      </c>
      <c r="D23">
        <v>0.20707070707070707</v>
      </c>
      <c r="E23">
        <v>-0.81662736084860543</v>
      </c>
    </row>
    <row r="24" spans="2:5" x14ac:dyDescent="0.3">
      <c r="B24">
        <f>LNs!D63</f>
        <v>-0.4366988422653561</v>
      </c>
      <c r="C24">
        <v>22</v>
      </c>
      <c r="D24">
        <v>0.21717171717171718</v>
      </c>
      <c r="E24">
        <v>-0.78178075276507197</v>
      </c>
    </row>
    <row r="25" spans="2:5" x14ac:dyDescent="0.3">
      <c r="B25">
        <f>LNs!D53</f>
        <v>-0.43587431684283123</v>
      </c>
      <c r="C25">
        <v>23</v>
      </c>
      <c r="D25">
        <v>0.22727272727272727</v>
      </c>
      <c r="E25">
        <v>-0.74785859476330196</v>
      </c>
    </row>
    <row r="26" spans="2:5" x14ac:dyDescent="0.3">
      <c r="B26">
        <f>LNs!D19</f>
        <v>-0.42446904444290218</v>
      </c>
      <c r="C26">
        <v>24</v>
      </c>
      <c r="D26">
        <v>0.23737373737373738</v>
      </c>
      <c r="E26">
        <v>-0.71477598810315091</v>
      </c>
    </row>
    <row r="27" spans="2:5" x14ac:dyDescent="0.3">
      <c r="B27">
        <f>LNs!D60</f>
        <v>-0.42005756196121502</v>
      </c>
      <c r="C27">
        <v>25</v>
      </c>
      <c r="D27">
        <v>0.24747474747474749</v>
      </c>
      <c r="E27">
        <v>-0.68245783666933024</v>
      </c>
    </row>
    <row r="28" spans="2:5" x14ac:dyDescent="0.3">
      <c r="B28">
        <f>LNs!D34</f>
        <v>-0.34194397933873821</v>
      </c>
      <c r="C28">
        <v>26</v>
      </c>
      <c r="D28">
        <v>0.25757575757575757</v>
      </c>
      <c r="E28">
        <v>-0.65083730644447746</v>
      </c>
    </row>
    <row r="29" spans="2:5" x14ac:dyDescent="0.3">
      <c r="B29">
        <f>LNs!D44</f>
        <v>-0.32777655389608351</v>
      </c>
      <c r="C29">
        <v>27</v>
      </c>
      <c r="D29">
        <v>0.26767676767676768</v>
      </c>
      <c r="E29">
        <v>-0.61985457356549389</v>
      </c>
    </row>
    <row r="30" spans="2:5" x14ac:dyDescent="0.3">
      <c r="B30">
        <f>LNs!D28</f>
        <v>-0.31667157011126923</v>
      </c>
      <c r="C30">
        <v>28</v>
      </c>
      <c r="D30">
        <v>0.27777777777777779</v>
      </c>
      <c r="E30">
        <v>-0.58945579784977842</v>
      </c>
    </row>
    <row r="31" spans="2:5" x14ac:dyDescent="0.3">
      <c r="B31">
        <f>LNs!D26</f>
        <v>-0.29907472294803272</v>
      </c>
      <c r="C31">
        <v>29</v>
      </c>
      <c r="D31">
        <v>0.2878787878787879</v>
      </c>
      <c r="E31">
        <v>-0.5595922742274323</v>
      </c>
    </row>
    <row r="32" spans="2:5" x14ac:dyDescent="0.3">
      <c r="B32">
        <f>LNs!D73</f>
        <v>-0.28294265458985707</v>
      </c>
      <c r="C32">
        <v>30</v>
      </c>
      <c r="D32">
        <v>0.29797979797979796</v>
      </c>
      <c r="E32">
        <v>-0.53021972582422794</v>
      </c>
    </row>
    <row r="33" spans="2:5" x14ac:dyDescent="0.3">
      <c r="B33">
        <f>LNs!D32</f>
        <v>-0.25472194155138878</v>
      </c>
      <c r="C33">
        <v>31</v>
      </c>
      <c r="D33">
        <v>0.30808080808080807</v>
      </c>
      <c r="E33">
        <v>-0.50129771076772867</v>
      </c>
    </row>
    <row r="34" spans="2:5" x14ac:dyDescent="0.3">
      <c r="B34">
        <f>LNs!D21</f>
        <v>-0.2535808518223831</v>
      </c>
      <c r="C34">
        <v>32</v>
      </c>
      <c r="D34">
        <v>0.31818181818181818</v>
      </c>
      <c r="E34">
        <v>-0.47278912099226744</v>
      </c>
    </row>
    <row r="35" spans="2:5" x14ac:dyDescent="0.3">
      <c r="B35">
        <f>LNs!D68</f>
        <v>-0.24047919910820015</v>
      </c>
      <c r="C35">
        <v>33</v>
      </c>
      <c r="D35">
        <v>0.32828282828282829</v>
      </c>
      <c r="E35">
        <v>-0.4446597559886718</v>
      </c>
    </row>
    <row r="36" spans="2:5" x14ac:dyDescent="0.3">
      <c r="B36">
        <f>LNs!D45</f>
        <v>-0.23914590879171554</v>
      </c>
      <c r="C36">
        <v>34</v>
      </c>
      <c r="D36">
        <v>0.3383838383838384</v>
      </c>
      <c r="E36">
        <v>-0.41687795799540722</v>
      </c>
    </row>
    <row r="37" spans="2:5" x14ac:dyDescent="0.3">
      <c r="B37">
        <f>LNs!D4</f>
        <v>-0.23829526091496928</v>
      </c>
      <c r="C37">
        <v>35</v>
      </c>
      <c r="D37">
        <v>0.34848484848484851</v>
      </c>
      <c r="E37">
        <v>-0.38941429785214438</v>
      </c>
    </row>
    <row r="38" spans="2:5" x14ac:dyDescent="0.3">
      <c r="B38">
        <f>LNs!D58</f>
        <v>-0.21354229128016164</v>
      </c>
      <c r="C38">
        <v>36</v>
      </c>
      <c r="D38">
        <v>0.35858585858585856</v>
      </c>
      <c r="E38">
        <v>-0.3622413028447366</v>
      </c>
    </row>
    <row r="39" spans="2:5" x14ac:dyDescent="0.3">
      <c r="B39">
        <f>LNs!D56</f>
        <v>-0.20573226137959572</v>
      </c>
      <c r="C39">
        <v>37</v>
      </c>
      <c r="D39">
        <v>0.36868686868686867</v>
      </c>
      <c r="E39">
        <v>-0.33533321951439826</v>
      </c>
    </row>
    <row r="40" spans="2:5" x14ac:dyDescent="0.3">
      <c r="B40">
        <f>LNs!D67</f>
        <v>-0.20226429790561654</v>
      </c>
      <c r="C40">
        <v>38</v>
      </c>
      <c r="D40">
        <v>0.37878787878787878</v>
      </c>
      <c r="E40">
        <v>-0.30866580569493407</v>
      </c>
    </row>
    <row r="41" spans="2:5" x14ac:dyDescent="0.3">
      <c r="B41">
        <f>LNs!D74</f>
        <v>-0.19849972040144978</v>
      </c>
      <c r="C41">
        <v>39</v>
      </c>
      <c r="D41">
        <v>0.3888888888888889</v>
      </c>
      <c r="E41">
        <v>-0.28221614706250814</v>
      </c>
    </row>
    <row r="42" spans="2:5" x14ac:dyDescent="0.3">
      <c r="B42">
        <f>LNs!D59</f>
        <v>-0.18837624950834575</v>
      </c>
      <c r="C42">
        <v>40</v>
      </c>
      <c r="D42">
        <v>0.39898989898989901</v>
      </c>
      <c r="E42">
        <v>-0.25596249429406465</v>
      </c>
    </row>
    <row r="43" spans="2:5" x14ac:dyDescent="0.3">
      <c r="B43">
        <f>LNs!D94</f>
        <v>-0.18293534512347795</v>
      </c>
      <c r="C43">
        <v>41</v>
      </c>
      <c r="D43">
        <v>0.40909090909090912</v>
      </c>
      <c r="E43">
        <v>-0.22988411757923208</v>
      </c>
    </row>
    <row r="44" spans="2:5" x14ac:dyDescent="0.3">
      <c r="B44">
        <f>LNs!D52</f>
        <v>-0.16341226958370392</v>
      </c>
      <c r="C44">
        <v>42</v>
      </c>
      <c r="D44">
        <v>0.41919191919191917</v>
      </c>
      <c r="E44">
        <v>-0.20396117575131437</v>
      </c>
    </row>
    <row r="45" spans="2:5" x14ac:dyDescent="0.3">
      <c r="B45">
        <f>LNs!D76</f>
        <v>-0.12482993180833976</v>
      </c>
      <c r="C45">
        <v>43</v>
      </c>
      <c r="D45">
        <v>0.42929292929292928</v>
      </c>
      <c r="E45">
        <v>-0.17817459772241043</v>
      </c>
    </row>
    <row r="46" spans="2:5" x14ac:dyDescent="0.3">
      <c r="B46">
        <f>LNs!D48</f>
        <v>-0.11713287205854826</v>
      </c>
      <c r="C46">
        <v>44</v>
      </c>
      <c r="D46">
        <v>0.43939393939393939</v>
      </c>
      <c r="E46">
        <v>-0.15250597424624437</v>
      </c>
    </row>
    <row r="47" spans="2:5" x14ac:dyDescent="0.3">
      <c r="B47">
        <f>LNs!D46</f>
        <v>-0.10093698059804704</v>
      </c>
      <c r="C47">
        <v>45</v>
      </c>
      <c r="D47">
        <v>0.4494949494949495</v>
      </c>
      <c r="E47">
        <v>-0.12693745830564304</v>
      </c>
    </row>
    <row r="48" spans="2:5" x14ac:dyDescent="0.3">
      <c r="B48">
        <f>LNs!D43</f>
        <v>-0.10016404075100878</v>
      </c>
      <c r="C48">
        <v>46</v>
      </c>
      <c r="D48">
        <v>0.45959595959595961</v>
      </c>
      <c r="E48">
        <v>-0.1014516726419474</v>
      </c>
    </row>
    <row r="49" spans="2:5" x14ac:dyDescent="0.3">
      <c r="B49">
        <f>LNs!D55</f>
        <v>-9.9217202286361647E-2</v>
      </c>
      <c r="C49">
        <v>47</v>
      </c>
      <c r="D49">
        <v>0.46969696969696972</v>
      </c>
      <c r="E49">
        <v>-7.60316231203884E-2</v>
      </c>
    </row>
    <row r="50" spans="2:5" x14ac:dyDescent="0.3">
      <c r="B50">
        <f>LNs!D22</f>
        <v>-3.8628568505532854E-2</v>
      </c>
      <c r="C50">
        <v>48</v>
      </c>
      <c r="D50">
        <v>0.47979797979797978</v>
      </c>
      <c r="E50">
        <v>-5.0660616765876576E-2</v>
      </c>
    </row>
    <row r="51" spans="2:5" x14ac:dyDescent="0.3">
      <c r="B51">
        <f>LNs!D27</f>
        <v>-2.9637895369323351E-2</v>
      </c>
      <c r="C51">
        <v>49</v>
      </c>
      <c r="D51">
        <v>0.48989898989898989</v>
      </c>
      <c r="E51">
        <v>-2.5322183413346296E-2</v>
      </c>
    </row>
    <row r="52" spans="2:5" x14ac:dyDescent="0.3">
      <c r="B52">
        <f>LNs!D90</f>
        <v>-2.180092255889552E-2</v>
      </c>
      <c r="C52">
        <v>50</v>
      </c>
      <c r="D52">
        <v>0.5</v>
      </c>
      <c r="E52">
        <v>0</v>
      </c>
    </row>
    <row r="53" spans="2:5" x14ac:dyDescent="0.3">
      <c r="B53">
        <f>LNs!D24</f>
        <v>-2.1783709280506552E-3</v>
      </c>
      <c r="C53">
        <v>51</v>
      </c>
      <c r="D53">
        <v>0.51010101010101006</v>
      </c>
      <c r="E53">
        <v>2.5322183413346164E-2</v>
      </c>
    </row>
    <row r="54" spans="2:5" x14ac:dyDescent="0.3">
      <c r="B54">
        <f>LNs!D5</f>
        <v>2.2583072000257977E-2</v>
      </c>
      <c r="C54">
        <v>52</v>
      </c>
      <c r="D54">
        <v>0.52020202020202022</v>
      </c>
      <c r="E54">
        <v>5.0660616765876576E-2</v>
      </c>
    </row>
    <row r="55" spans="2:5" x14ac:dyDescent="0.3">
      <c r="B55">
        <f>LNs!D51</f>
        <v>2.6417952603216673E-2</v>
      </c>
      <c r="C55">
        <v>53</v>
      </c>
      <c r="D55">
        <v>0.53030303030303028</v>
      </c>
      <c r="E55">
        <v>7.60316231203884E-2</v>
      </c>
    </row>
    <row r="56" spans="2:5" x14ac:dyDescent="0.3">
      <c r="B56">
        <f>LNs!D50</f>
        <v>3.0635891875102302E-2</v>
      </c>
      <c r="C56">
        <v>54</v>
      </c>
      <c r="D56">
        <v>0.54040404040404044</v>
      </c>
      <c r="E56">
        <v>0.10145167264194754</v>
      </c>
    </row>
    <row r="57" spans="2:5" x14ac:dyDescent="0.3">
      <c r="B57">
        <f>LNs!D39</f>
        <v>3.9076471981792843E-2</v>
      </c>
      <c r="C57">
        <v>55</v>
      </c>
      <c r="D57">
        <v>0.5505050505050505</v>
      </c>
      <c r="E57">
        <v>0.12693745830564304</v>
      </c>
    </row>
    <row r="58" spans="2:5" x14ac:dyDescent="0.3">
      <c r="B58">
        <f>LNs!D25</f>
        <v>4.0969183687398152E-2</v>
      </c>
      <c r="C58">
        <v>56</v>
      </c>
      <c r="D58">
        <v>0.56060606060606055</v>
      </c>
      <c r="E58">
        <v>0.15250597424624424</v>
      </c>
    </row>
    <row r="59" spans="2:5" x14ac:dyDescent="0.3">
      <c r="B59">
        <f>LNs!D82</f>
        <v>6.0888116510423473E-2</v>
      </c>
      <c r="C59">
        <v>57</v>
      </c>
      <c r="D59">
        <v>0.57070707070707072</v>
      </c>
      <c r="E59">
        <v>0.17817459772241043</v>
      </c>
    </row>
    <row r="60" spans="2:5" x14ac:dyDescent="0.3">
      <c r="B60">
        <f>LNs!D18</f>
        <v>7.0486422251192213E-2</v>
      </c>
      <c r="C60">
        <v>58</v>
      </c>
      <c r="D60">
        <v>0.58080808080808077</v>
      </c>
      <c r="E60">
        <v>0.2039611757513142</v>
      </c>
    </row>
    <row r="61" spans="2:5" x14ac:dyDescent="0.3">
      <c r="B61">
        <f>LNs!D57</f>
        <v>8.4111342618652427E-2</v>
      </c>
      <c r="C61">
        <v>59</v>
      </c>
      <c r="D61">
        <v>0.59090909090909094</v>
      </c>
      <c r="E61">
        <v>0.22988411757923222</v>
      </c>
    </row>
    <row r="62" spans="2:5" x14ac:dyDescent="0.3">
      <c r="B62">
        <f>LNs!D96</f>
        <v>0.10089455809822551</v>
      </c>
      <c r="C62">
        <v>60</v>
      </c>
      <c r="D62">
        <v>0.60101010101010099</v>
      </c>
      <c r="E62">
        <v>0.25596249429406465</v>
      </c>
    </row>
    <row r="63" spans="2:5" x14ac:dyDescent="0.3">
      <c r="B63">
        <f>LNs!D83</f>
        <v>0.10834306343697876</v>
      </c>
      <c r="C63">
        <v>61</v>
      </c>
      <c r="D63">
        <v>0.61111111111111116</v>
      </c>
      <c r="E63">
        <v>0.28221614706250825</v>
      </c>
    </row>
    <row r="64" spans="2:5" x14ac:dyDescent="0.3">
      <c r="B64">
        <f>LNs!D92</f>
        <v>0.11047640714061063</v>
      </c>
      <c r="C64">
        <v>62</v>
      </c>
      <c r="D64">
        <v>0.62121212121212122</v>
      </c>
      <c r="E64">
        <v>0.30866580569493407</v>
      </c>
    </row>
    <row r="65" spans="2:5" x14ac:dyDescent="0.3">
      <c r="B65">
        <f>LNs!D91</f>
        <v>0.1292723357041391</v>
      </c>
      <c r="C65">
        <v>63</v>
      </c>
      <c r="D65">
        <v>0.63131313131313127</v>
      </c>
      <c r="E65">
        <v>0.3353332195143981</v>
      </c>
    </row>
    <row r="66" spans="2:5" x14ac:dyDescent="0.3">
      <c r="B66">
        <f>LNs!D89</f>
        <v>0.13016824357339396</v>
      </c>
      <c r="C66">
        <v>64</v>
      </c>
      <c r="D66">
        <v>0.64141414141414144</v>
      </c>
      <c r="E66">
        <v>0.3622413028447366</v>
      </c>
    </row>
    <row r="67" spans="2:5" x14ac:dyDescent="0.3">
      <c r="B67">
        <f>LNs!D20</f>
        <v>0.14837690074101711</v>
      </c>
      <c r="C67">
        <v>65</v>
      </c>
      <c r="D67">
        <v>0.65151515151515149</v>
      </c>
      <c r="E67">
        <v>0.38941429785214438</v>
      </c>
    </row>
    <row r="68" spans="2:5" x14ac:dyDescent="0.3">
      <c r="B68">
        <f>LNs!D81</f>
        <v>0.16434426256329229</v>
      </c>
      <c r="C68">
        <v>66</v>
      </c>
      <c r="D68">
        <v>0.66161616161616166</v>
      </c>
      <c r="E68">
        <v>0.41687795799540739</v>
      </c>
    </row>
    <row r="69" spans="2:5" x14ac:dyDescent="0.3">
      <c r="B69">
        <f>LNs!D95</f>
        <v>0.17899101669749873</v>
      </c>
      <c r="C69">
        <v>67</v>
      </c>
      <c r="D69">
        <v>0.67171717171717171</v>
      </c>
      <c r="E69">
        <v>0.4446597559886718</v>
      </c>
    </row>
    <row r="70" spans="2:5" x14ac:dyDescent="0.3">
      <c r="B70">
        <f>LNs!D93</f>
        <v>0.20013691666395611</v>
      </c>
      <c r="C70">
        <v>68</v>
      </c>
      <c r="D70">
        <v>0.68181818181818177</v>
      </c>
      <c r="E70">
        <v>0.47278912099226728</v>
      </c>
    </row>
    <row r="71" spans="2:5" x14ac:dyDescent="0.3">
      <c r="B71">
        <f>LNs!D80</f>
        <v>0.20442545570088086</v>
      </c>
      <c r="C71">
        <v>69</v>
      </c>
      <c r="D71">
        <v>0.69191919191919193</v>
      </c>
      <c r="E71">
        <v>0.50129771076772867</v>
      </c>
    </row>
    <row r="72" spans="2:5" x14ac:dyDescent="0.3">
      <c r="B72">
        <f>LNs!D75</f>
        <v>0.21626394096931148</v>
      </c>
      <c r="C72">
        <v>70</v>
      </c>
      <c r="D72">
        <v>0.70202020202020199</v>
      </c>
      <c r="E72">
        <v>0.53021972582422772</v>
      </c>
    </row>
    <row r="73" spans="2:5" x14ac:dyDescent="0.3">
      <c r="B73">
        <f>LNs!D84</f>
        <v>0.24567969405249993</v>
      </c>
      <c r="C73">
        <v>71</v>
      </c>
      <c r="D73">
        <v>0.71212121212121215</v>
      </c>
      <c r="E73">
        <v>0.55959227422743252</v>
      </c>
    </row>
    <row r="74" spans="2:5" x14ac:dyDescent="0.3">
      <c r="B74">
        <f>LNs!D13</f>
        <v>0.24901400656086586</v>
      </c>
      <c r="C74">
        <v>72</v>
      </c>
      <c r="D74">
        <v>0.72222222222222221</v>
      </c>
      <c r="E74">
        <v>0.58945579784977842</v>
      </c>
    </row>
    <row r="75" spans="2:5" x14ac:dyDescent="0.3">
      <c r="B75">
        <f>LNs!D47</f>
        <v>0.27232982749710904</v>
      </c>
      <c r="C75">
        <v>73</v>
      </c>
      <c r="D75">
        <v>0.73232323232323238</v>
      </c>
      <c r="E75">
        <v>0.61985457356549423</v>
      </c>
    </row>
    <row r="76" spans="2:5" x14ac:dyDescent="0.3">
      <c r="B76">
        <f>LNs!D100</f>
        <v>0.31711465313548659</v>
      </c>
      <c r="C76">
        <v>74</v>
      </c>
      <c r="D76">
        <v>0.74242424242424243</v>
      </c>
      <c r="E76">
        <v>0.65083730644447746</v>
      </c>
    </row>
    <row r="77" spans="2:5" x14ac:dyDescent="0.3">
      <c r="B77">
        <f>LNs!D78</f>
        <v>0.32347383654983841</v>
      </c>
      <c r="C77">
        <v>75</v>
      </c>
      <c r="D77">
        <v>0.75252525252525249</v>
      </c>
      <c r="E77">
        <v>0.68245783666933024</v>
      </c>
    </row>
    <row r="78" spans="2:5" x14ac:dyDescent="0.3">
      <c r="B78">
        <f>LNs!D101</f>
        <v>0.35278840110614901</v>
      </c>
      <c r="C78">
        <v>76</v>
      </c>
      <c r="D78">
        <v>0.76262626262626265</v>
      </c>
      <c r="E78">
        <v>0.71477598810315091</v>
      </c>
    </row>
    <row r="79" spans="2:5" x14ac:dyDescent="0.3">
      <c r="B79">
        <f>LNs!D12</f>
        <v>0.36399707161439271</v>
      </c>
      <c r="C79">
        <v>77</v>
      </c>
      <c r="D79">
        <v>0.77272727272727271</v>
      </c>
      <c r="E79">
        <v>0.74785859476330196</v>
      </c>
    </row>
    <row r="80" spans="2:5" x14ac:dyDescent="0.3">
      <c r="B80">
        <f>LNs!D64</f>
        <v>0.39277830318942408</v>
      </c>
      <c r="C80">
        <v>78</v>
      </c>
      <c r="D80">
        <v>0.78282828282828287</v>
      </c>
      <c r="E80">
        <v>0.78178075276507275</v>
      </c>
    </row>
    <row r="81" spans="2:5" x14ac:dyDescent="0.3">
      <c r="B81">
        <f>LNs!D102</f>
        <v>0.42431303145350857</v>
      </c>
      <c r="C81">
        <v>79</v>
      </c>
      <c r="D81">
        <v>0.79292929292929293</v>
      </c>
      <c r="E81">
        <v>0.81662736084860543</v>
      </c>
    </row>
    <row r="82" spans="2:5" x14ac:dyDescent="0.3">
      <c r="B82">
        <f>LNs!D7</f>
        <v>0.4371252608360332</v>
      </c>
      <c r="C82">
        <v>80</v>
      </c>
      <c r="D82">
        <v>0.80303030303030298</v>
      </c>
      <c r="E82">
        <v>0.85249503427469353</v>
      </c>
    </row>
    <row r="83" spans="2:5" x14ac:dyDescent="0.3">
      <c r="B83">
        <f>LNs!D98</f>
        <v>0.44324889193691597</v>
      </c>
      <c r="C83">
        <v>81</v>
      </c>
      <c r="D83">
        <v>0.81313131313131315</v>
      </c>
      <c r="E83">
        <v>0.88949450753063364</v>
      </c>
    </row>
    <row r="84" spans="2:5" x14ac:dyDescent="0.3">
      <c r="B84">
        <f>LNs!D17</f>
        <v>0.45480750072377757</v>
      </c>
      <c r="C84">
        <v>82</v>
      </c>
      <c r="D84">
        <v>0.8232323232323232</v>
      </c>
      <c r="E84">
        <v>0.92775368535742475</v>
      </c>
    </row>
    <row r="85" spans="2:5" x14ac:dyDescent="0.3">
      <c r="B85">
        <f>LNs!D23</f>
        <v>0.45848757328448797</v>
      </c>
      <c r="C85">
        <v>83</v>
      </c>
      <c r="D85">
        <v>0.83333333333333337</v>
      </c>
      <c r="E85">
        <v>0.96742156610170071</v>
      </c>
    </row>
    <row r="86" spans="2:5" x14ac:dyDescent="0.3">
      <c r="B86">
        <f>LNs!D79</f>
        <v>0.47858544985835488</v>
      </c>
      <c r="C86">
        <v>84</v>
      </c>
      <c r="D86">
        <v>0.84343434343434343</v>
      </c>
      <c r="E86">
        <v>1.0086733576467986</v>
      </c>
    </row>
    <row r="87" spans="2:5" x14ac:dyDescent="0.3">
      <c r="B87">
        <f>LNs!D87</f>
        <v>0.49992037712583343</v>
      </c>
      <c r="C87">
        <v>85</v>
      </c>
      <c r="D87">
        <v>0.85353535353535348</v>
      </c>
      <c r="E87">
        <v>1.0517172529984837</v>
      </c>
    </row>
    <row r="88" spans="2:5" x14ac:dyDescent="0.3">
      <c r="B88">
        <f>LNs!D6</f>
        <v>0.53187453295369802</v>
      </c>
      <c r="C88">
        <v>86</v>
      </c>
      <c r="D88">
        <v>0.86363636363636365</v>
      </c>
      <c r="E88">
        <v>1.096803562093513</v>
      </c>
    </row>
    <row r="89" spans="2:5" x14ac:dyDescent="0.3">
      <c r="B89">
        <f>LNs!D77</f>
        <v>0.54776296277279923</v>
      </c>
      <c r="C89">
        <v>87</v>
      </c>
      <c r="D89">
        <v>0.8737373737373737</v>
      </c>
      <c r="E89">
        <v>1.1442372651002066</v>
      </c>
    </row>
    <row r="90" spans="2:5" x14ac:dyDescent="0.3">
      <c r="B90">
        <f>LNs!D99</f>
        <v>0.60931438289404538</v>
      </c>
      <c r="C90">
        <v>88</v>
      </c>
      <c r="D90">
        <v>0.88383838383838387</v>
      </c>
      <c r="E90">
        <v>1.1943956635681565</v>
      </c>
    </row>
    <row r="91" spans="2:5" x14ac:dyDescent="0.3">
      <c r="B91">
        <f>LNs!D11</f>
        <v>0.61397950659938505</v>
      </c>
      <c r="C91">
        <v>89</v>
      </c>
      <c r="D91">
        <v>0.89393939393939392</v>
      </c>
      <c r="E91">
        <v>1.2477538553513243</v>
      </c>
    </row>
    <row r="92" spans="2:5" x14ac:dyDescent="0.3">
      <c r="B92">
        <f>LNs!D8</f>
        <v>0.6870385608755365</v>
      </c>
      <c r="C92">
        <v>90</v>
      </c>
      <c r="D92">
        <v>0.90404040404040409</v>
      </c>
      <c r="E92">
        <v>1.3049226377527239</v>
      </c>
    </row>
    <row r="93" spans="2:5" x14ac:dyDescent="0.3">
      <c r="B93">
        <f>LNs!D16</f>
        <v>0.7325553761372986</v>
      </c>
      <c r="C93">
        <v>91</v>
      </c>
      <c r="D93">
        <v>0.91414141414141414</v>
      </c>
      <c r="E93">
        <v>1.3667069718079636</v>
      </c>
    </row>
    <row r="94" spans="2:5" x14ac:dyDescent="0.3">
      <c r="B94">
        <f>LNs!D15</f>
        <v>0.74537428880758594</v>
      </c>
      <c r="C94">
        <v>92</v>
      </c>
      <c r="D94">
        <v>0.9242424242424242</v>
      </c>
      <c r="E94">
        <v>1.434200159686378</v>
      </c>
    </row>
    <row r="95" spans="2:5" x14ac:dyDescent="0.3">
      <c r="B95">
        <f>LNs!D88</f>
        <v>0.75033531618041971</v>
      </c>
      <c r="C95">
        <v>93</v>
      </c>
      <c r="D95">
        <v>0.93434343434343436</v>
      </c>
      <c r="E95">
        <v>1.5089438550380383</v>
      </c>
    </row>
    <row r="96" spans="2:5" x14ac:dyDescent="0.3">
      <c r="B96">
        <f>LNs!D86</f>
        <v>0.832326344457058</v>
      </c>
      <c r="C96">
        <v>94</v>
      </c>
      <c r="D96">
        <v>0.94444444444444442</v>
      </c>
      <c r="E96">
        <v>1.59321881802305</v>
      </c>
    </row>
    <row r="97" spans="2:5" x14ac:dyDescent="0.3">
      <c r="B97">
        <f>LNs!D14</f>
        <v>0.84238150919921617</v>
      </c>
      <c r="C97">
        <v>95</v>
      </c>
      <c r="D97">
        <v>0.95454545454545459</v>
      </c>
      <c r="E97">
        <v>1.6906216295848984</v>
      </c>
    </row>
    <row r="98" spans="2:5" x14ac:dyDescent="0.3">
      <c r="B98">
        <f>LNs!D97</f>
        <v>0.96587676972828007</v>
      </c>
      <c r="C98">
        <v>96</v>
      </c>
      <c r="D98">
        <v>0.96464646464646464</v>
      </c>
      <c r="E98">
        <v>1.807354196799112</v>
      </c>
    </row>
    <row r="99" spans="2:5" x14ac:dyDescent="0.3">
      <c r="B99">
        <f>LNs!D9</f>
        <v>0.98496568616412272</v>
      </c>
      <c r="C99">
        <v>97</v>
      </c>
      <c r="D99">
        <v>0.9747474747474747</v>
      </c>
      <c r="E99">
        <v>1.9556614355881674</v>
      </c>
    </row>
    <row r="100" spans="2:5" x14ac:dyDescent="0.3">
      <c r="B100">
        <f>LNs!D85</f>
        <v>1.0297372673794081</v>
      </c>
      <c r="C100">
        <v>98</v>
      </c>
      <c r="D100">
        <v>0.98484848484848486</v>
      </c>
      <c r="E100">
        <v>2.166106752892329</v>
      </c>
    </row>
    <row r="101" spans="2:5" x14ac:dyDescent="0.3">
      <c r="B101">
        <f>LNs!D10</f>
        <v>1.1992446441726439</v>
      </c>
      <c r="C101">
        <v>99</v>
      </c>
      <c r="D101">
        <v>0.99494949494949492</v>
      </c>
      <c r="E101">
        <v>2.5723521109428868</v>
      </c>
    </row>
  </sheetData>
  <sortState xmlns:xlrd2="http://schemas.microsoft.com/office/spreadsheetml/2017/richdata2" ref="B3:E101">
    <sortCondition ref="B3:B101"/>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7176E-BD91-44DC-B7C3-6080B8D7B8A2}">
  <dimension ref="B2:E101"/>
  <sheetViews>
    <sheetView workbookViewId="0">
      <selection activeCell="L26" sqref="L26"/>
    </sheetView>
  </sheetViews>
  <sheetFormatPr defaultRowHeight="14.4" x14ac:dyDescent="0.3"/>
  <cols>
    <col min="4" max="4" width="14.33203125" bestFit="1" customWidth="1"/>
    <col min="5" max="5" width="17.88671875" customWidth="1"/>
  </cols>
  <sheetData>
    <row r="2" spans="2:5" x14ac:dyDescent="0.3">
      <c r="B2" t="s">
        <v>10</v>
      </c>
      <c r="C2" t="s">
        <v>4</v>
      </c>
      <c r="D2" t="s">
        <v>5</v>
      </c>
      <c r="E2" t="s">
        <v>6</v>
      </c>
    </row>
    <row r="3" spans="2:5" x14ac:dyDescent="0.3">
      <c r="B3">
        <f>LNs!E29</f>
        <v>-0.94537202314221325</v>
      </c>
      <c r="C3">
        <v>1</v>
      </c>
      <c r="D3">
        <v>5.0505050505050509E-3</v>
      </c>
      <c r="E3">
        <v>-2.5723521109428895</v>
      </c>
    </row>
    <row r="4" spans="2:5" x14ac:dyDescent="0.3">
      <c r="B4">
        <f>LNs!E41</f>
        <v>-0.93437323942492068</v>
      </c>
      <c r="C4">
        <v>2</v>
      </c>
      <c r="D4">
        <v>1.5151515151515152E-2</v>
      </c>
      <c r="E4">
        <v>-2.1661067528923286</v>
      </c>
    </row>
    <row r="5" spans="2:5" x14ac:dyDescent="0.3">
      <c r="B5">
        <f>LNs!E54</f>
        <v>-0.75341749015237014</v>
      </c>
      <c r="C5">
        <v>3</v>
      </c>
      <c r="D5">
        <v>2.5252525252525252E-2</v>
      </c>
      <c r="E5">
        <v>-1.9556614355881679</v>
      </c>
    </row>
    <row r="6" spans="2:5" x14ac:dyDescent="0.3">
      <c r="B6">
        <f>LNs!E62</f>
        <v>-0.73775759207849423</v>
      </c>
      <c r="C6">
        <v>4</v>
      </c>
      <c r="D6">
        <v>3.5353535353535352E-2</v>
      </c>
      <c r="E6">
        <v>-1.807354196799112</v>
      </c>
    </row>
    <row r="7" spans="2:5" x14ac:dyDescent="0.3">
      <c r="B7">
        <f>LNs!E31</f>
        <v>-0.73768649241765161</v>
      </c>
      <c r="C7">
        <v>5</v>
      </c>
      <c r="D7">
        <v>4.5454545454545456E-2</v>
      </c>
      <c r="E7">
        <v>-1.6906216295848977</v>
      </c>
    </row>
    <row r="8" spans="2:5" x14ac:dyDescent="0.3">
      <c r="B8">
        <f>LNs!E66</f>
        <v>-0.68521472583425291</v>
      </c>
      <c r="C8">
        <v>6</v>
      </c>
      <c r="D8">
        <v>5.5555555555555552E-2</v>
      </c>
      <c r="E8">
        <v>-1.5932188180230502</v>
      </c>
    </row>
    <row r="9" spans="2:5" x14ac:dyDescent="0.3">
      <c r="B9">
        <f>LNs!E35</f>
        <v>-0.66232703822005889</v>
      </c>
      <c r="C9">
        <v>7</v>
      </c>
      <c r="D9">
        <v>6.5656565656565663E-2</v>
      </c>
      <c r="E9">
        <v>-1.5089438550380374</v>
      </c>
    </row>
    <row r="10" spans="2:5" x14ac:dyDescent="0.3">
      <c r="B10">
        <f>LNs!E38</f>
        <v>-0.6451306489003209</v>
      </c>
      <c r="C10">
        <v>8</v>
      </c>
      <c r="D10">
        <v>7.575757575757576E-2</v>
      </c>
      <c r="E10">
        <v>-1.4342001596863787</v>
      </c>
    </row>
    <row r="11" spans="2:5" x14ac:dyDescent="0.3">
      <c r="B11">
        <f>LNs!E49</f>
        <v>-0.63319855188127827</v>
      </c>
      <c r="C11">
        <v>9</v>
      </c>
      <c r="D11">
        <v>8.5858585858585856E-2</v>
      </c>
      <c r="E11">
        <v>-1.3667069718079636</v>
      </c>
    </row>
    <row r="12" spans="2:5" x14ac:dyDescent="0.3">
      <c r="B12">
        <f>LNs!E33</f>
        <v>-0.62397192570585147</v>
      </c>
      <c r="C12">
        <v>10</v>
      </c>
      <c r="D12">
        <v>9.5959595959595953E-2</v>
      </c>
      <c r="E12">
        <v>-1.304922637752725</v>
      </c>
    </row>
    <row r="13" spans="2:5" x14ac:dyDescent="0.3">
      <c r="B13">
        <f>LNs!E72</f>
        <v>-0.61476122916486831</v>
      </c>
      <c r="C13">
        <v>11</v>
      </c>
      <c r="D13">
        <v>0.10606060606060606</v>
      </c>
      <c r="E13">
        <v>-1.2477538553513243</v>
      </c>
    </row>
    <row r="14" spans="2:5" x14ac:dyDescent="0.3">
      <c r="B14">
        <f>LNs!E70</f>
        <v>-0.5509048386597909</v>
      </c>
      <c r="C14">
        <v>12</v>
      </c>
      <c r="D14">
        <v>0.11616161616161616</v>
      </c>
      <c r="E14">
        <v>-1.1943956635681565</v>
      </c>
    </row>
    <row r="15" spans="2:5" x14ac:dyDescent="0.3">
      <c r="B15">
        <f>LNs!E37</f>
        <v>-0.54473752032276634</v>
      </c>
      <c r="C15">
        <v>13</v>
      </c>
      <c r="D15">
        <v>0.12626262626262627</v>
      </c>
      <c r="E15">
        <v>-1.1442372651002066</v>
      </c>
    </row>
    <row r="16" spans="2:5" x14ac:dyDescent="0.3">
      <c r="B16">
        <f>LNs!E30</f>
        <v>-0.53002543279361813</v>
      </c>
      <c r="C16">
        <v>14</v>
      </c>
      <c r="D16">
        <v>0.13636363636363635</v>
      </c>
      <c r="E16">
        <v>-1.096803562093513</v>
      </c>
    </row>
    <row r="17" spans="2:5" x14ac:dyDescent="0.3">
      <c r="B17">
        <f>LNs!E40</f>
        <v>-0.52445981504179429</v>
      </c>
      <c r="C17">
        <v>15</v>
      </c>
      <c r="D17">
        <v>0.14646464646464646</v>
      </c>
      <c r="E17">
        <v>-1.0517172529984806</v>
      </c>
    </row>
    <row r="18" spans="2:5" x14ac:dyDescent="0.3">
      <c r="B18">
        <f>LNs!E36</f>
        <v>-0.51677998249421209</v>
      </c>
      <c r="C18">
        <v>16</v>
      </c>
      <c r="D18">
        <v>0.15656565656565657</v>
      </c>
      <c r="E18">
        <v>-1.0086733576467986</v>
      </c>
    </row>
    <row r="19" spans="2:5" x14ac:dyDescent="0.3">
      <c r="B19">
        <f>LNs!E61</f>
        <v>-0.51078895777152966</v>
      </c>
      <c r="C19">
        <v>17</v>
      </c>
      <c r="D19">
        <v>0.16666666666666666</v>
      </c>
      <c r="E19">
        <v>-0.96742156610170071</v>
      </c>
    </row>
    <row r="20" spans="2:5" x14ac:dyDescent="0.3">
      <c r="B20">
        <f>LNs!E42</f>
        <v>-0.48187542092297803</v>
      </c>
      <c r="C20">
        <v>18</v>
      </c>
      <c r="D20">
        <v>0.17676767676767677</v>
      </c>
      <c r="E20">
        <v>-0.92775368535742475</v>
      </c>
    </row>
    <row r="21" spans="2:5" x14ac:dyDescent="0.3">
      <c r="B21">
        <f>LNs!E65</f>
        <v>-0.47278509393464768</v>
      </c>
      <c r="C21">
        <v>19</v>
      </c>
      <c r="D21">
        <v>0.18686868686868688</v>
      </c>
      <c r="E21">
        <v>-0.88949450753063364</v>
      </c>
    </row>
    <row r="22" spans="2:5" x14ac:dyDescent="0.3">
      <c r="B22">
        <f>LNs!E71</f>
        <v>-0.46540143560349134</v>
      </c>
      <c r="C22">
        <v>20</v>
      </c>
      <c r="D22">
        <v>0.19696969696969696</v>
      </c>
      <c r="E22">
        <v>-0.85249503427469364</v>
      </c>
    </row>
    <row r="23" spans="2:5" x14ac:dyDescent="0.3">
      <c r="B23">
        <f>LNs!E53</f>
        <v>-0.46482028600958303</v>
      </c>
      <c r="C23">
        <v>21</v>
      </c>
      <c r="D23">
        <v>0.20707070707070707</v>
      </c>
      <c r="E23">
        <v>-0.81662736084860543</v>
      </c>
    </row>
    <row r="24" spans="2:5" x14ac:dyDescent="0.3">
      <c r="B24">
        <f>LNs!E69</f>
        <v>-0.43330455428982584</v>
      </c>
      <c r="C24">
        <v>22</v>
      </c>
      <c r="D24">
        <v>0.21717171717171718</v>
      </c>
      <c r="E24">
        <v>-0.78178075276507197</v>
      </c>
    </row>
    <row r="25" spans="2:5" x14ac:dyDescent="0.3">
      <c r="B25">
        <f>LNs!E4</f>
        <v>-0.41171962689605546</v>
      </c>
      <c r="C25">
        <v>23</v>
      </c>
      <c r="D25">
        <v>0.22727272727272727</v>
      </c>
      <c r="E25">
        <v>-0.74785859476330196</v>
      </c>
    </row>
    <row r="26" spans="2:5" x14ac:dyDescent="0.3">
      <c r="B26">
        <f>LNs!E63</f>
        <v>-0.40963880587987822</v>
      </c>
      <c r="C26">
        <v>24</v>
      </c>
      <c r="D26">
        <v>0.23737373737373738</v>
      </c>
      <c r="E26">
        <v>-0.71477598810315091</v>
      </c>
    </row>
    <row r="27" spans="2:5" x14ac:dyDescent="0.3">
      <c r="B27">
        <f>LNs!E26</f>
        <v>-0.39014161481931753</v>
      </c>
      <c r="C27">
        <v>25</v>
      </c>
      <c r="D27">
        <v>0.24747474747474749</v>
      </c>
      <c r="E27">
        <v>-0.68245783666933024</v>
      </c>
    </row>
    <row r="28" spans="2:5" x14ac:dyDescent="0.3">
      <c r="B28">
        <f>LNs!E28</f>
        <v>-0.38403292690350649</v>
      </c>
      <c r="C28">
        <v>26</v>
      </c>
      <c r="D28">
        <v>0.25757575757575757</v>
      </c>
      <c r="E28">
        <v>-0.65083730644447746</v>
      </c>
    </row>
    <row r="29" spans="2:5" x14ac:dyDescent="0.3">
      <c r="B29">
        <f>LNs!E60</f>
        <v>-0.37110860993633576</v>
      </c>
      <c r="C29">
        <v>27</v>
      </c>
      <c r="D29">
        <v>0.26767676767676768</v>
      </c>
      <c r="E29">
        <v>-0.61985457356549389</v>
      </c>
    </row>
    <row r="30" spans="2:5" x14ac:dyDescent="0.3">
      <c r="B30">
        <f>LNs!E21</f>
        <v>-0.36318034395724308</v>
      </c>
      <c r="C30">
        <v>28</v>
      </c>
      <c r="D30">
        <v>0.27777777777777779</v>
      </c>
      <c r="E30">
        <v>-0.58945579784977842</v>
      </c>
    </row>
    <row r="31" spans="2:5" x14ac:dyDescent="0.3">
      <c r="B31">
        <f>LNs!E44</f>
        <v>-0.36293449410987655</v>
      </c>
      <c r="C31">
        <v>29</v>
      </c>
      <c r="D31">
        <v>0.2878787878787879</v>
      </c>
      <c r="E31">
        <v>-0.5595922742274323</v>
      </c>
    </row>
    <row r="32" spans="2:5" x14ac:dyDescent="0.3">
      <c r="B32">
        <f>LNs!E34</f>
        <v>-0.32942115403451983</v>
      </c>
      <c r="C32">
        <v>30</v>
      </c>
      <c r="D32">
        <v>0.29797979797979796</v>
      </c>
      <c r="E32">
        <v>-0.53021972582422794</v>
      </c>
    </row>
    <row r="33" spans="2:5" x14ac:dyDescent="0.3">
      <c r="B33">
        <f>LNs!E32</f>
        <v>-0.29736345280870963</v>
      </c>
      <c r="C33">
        <v>31</v>
      </c>
      <c r="D33">
        <v>0.30808080808080807</v>
      </c>
      <c r="E33">
        <v>-0.50129771076772867</v>
      </c>
    </row>
    <row r="34" spans="2:5" x14ac:dyDescent="0.3">
      <c r="B34">
        <f>LNs!E73</f>
        <v>-0.28524371433132939</v>
      </c>
      <c r="C34">
        <v>32</v>
      </c>
      <c r="D34">
        <v>0.31818181818181818</v>
      </c>
      <c r="E34">
        <v>-0.47278912099226744</v>
      </c>
    </row>
    <row r="35" spans="2:5" x14ac:dyDescent="0.3">
      <c r="B35">
        <f>LNs!E45</f>
        <v>-0.28415098076713918</v>
      </c>
      <c r="C35">
        <v>33</v>
      </c>
      <c r="D35">
        <v>0.32828282828282829</v>
      </c>
      <c r="E35">
        <v>-0.4446597559886718</v>
      </c>
    </row>
    <row r="36" spans="2:5" x14ac:dyDescent="0.3">
      <c r="B36">
        <f>LNs!E56</f>
        <v>-0.27808956138405488</v>
      </c>
      <c r="C36">
        <v>34</v>
      </c>
      <c r="D36">
        <v>0.3383838383838384</v>
      </c>
      <c r="E36">
        <v>-0.41687795799540722</v>
      </c>
    </row>
    <row r="37" spans="2:5" x14ac:dyDescent="0.3">
      <c r="B37">
        <f>LNs!E19</f>
        <v>-0.25917495572371307</v>
      </c>
      <c r="C37">
        <v>35</v>
      </c>
      <c r="D37">
        <v>0.34848484848484851</v>
      </c>
      <c r="E37">
        <v>-0.38941429785214438</v>
      </c>
    </row>
    <row r="38" spans="2:5" x14ac:dyDescent="0.3">
      <c r="B38">
        <f>LNs!E48</f>
        <v>-0.253552502329837</v>
      </c>
      <c r="C38">
        <v>36</v>
      </c>
      <c r="D38">
        <v>0.35858585858585856</v>
      </c>
      <c r="E38">
        <v>-0.3622413028447366</v>
      </c>
    </row>
    <row r="39" spans="2:5" x14ac:dyDescent="0.3">
      <c r="B39">
        <f>LNs!E58</f>
        <v>-0.2456512089082056</v>
      </c>
      <c r="C39">
        <v>37</v>
      </c>
      <c r="D39">
        <v>0.36868686868686867</v>
      </c>
      <c r="E39">
        <v>-0.33533321951439826</v>
      </c>
    </row>
    <row r="40" spans="2:5" x14ac:dyDescent="0.3">
      <c r="B40">
        <f>LNs!E68</f>
        <v>-0.23010019273061061</v>
      </c>
      <c r="C40">
        <v>38</v>
      </c>
      <c r="D40">
        <v>0.37878787878787878</v>
      </c>
      <c r="E40">
        <v>-0.30866580569493407</v>
      </c>
    </row>
    <row r="41" spans="2:5" x14ac:dyDescent="0.3">
      <c r="B41">
        <f>LNs!E94</f>
        <v>-0.20810470380088608</v>
      </c>
      <c r="C41">
        <v>39</v>
      </c>
      <c r="D41">
        <v>0.3888888888888889</v>
      </c>
      <c r="E41">
        <v>-0.28221614706250814</v>
      </c>
    </row>
    <row r="42" spans="2:5" x14ac:dyDescent="0.3">
      <c r="B42">
        <f>LNs!E59</f>
        <v>-0.19102734241491806</v>
      </c>
      <c r="C42">
        <v>40</v>
      </c>
      <c r="D42">
        <v>0.39898989898989901</v>
      </c>
      <c r="E42">
        <v>-0.25596249429406465</v>
      </c>
    </row>
    <row r="43" spans="2:5" x14ac:dyDescent="0.3">
      <c r="B43">
        <f>LNs!E52</f>
        <v>-0.17969740289949665</v>
      </c>
      <c r="C43">
        <v>41</v>
      </c>
      <c r="D43">
        <v>0.40909090909090912</v>
      </c>
      <c r="E43">
        <v>-0.22988411757923208</v>
      </c>
    </row>
    <row r="44" spans="2:5" x14ac:dyDescent="0.3">
      <c r="B44">
        <f>LNs!E67</f>
        <v>-0.17580086280382587</v>
      </c>
      <c r="C44">
        <v>42</v>
      </c>
      <c r="D44">
        <v>0.41919191919191917</v>
      </c>
      <c r="E44">
        <v>-0.20396117575131437</v>
      </c>
    </row>
    <row r="45" spans="2:5" x14ac:dyDescent="0.3">
      <c r="B45">
        <f>LNs!E74</f>
        <v>-0.16906264592703565</v>
      </c>
      <c r="C45">
        <v>43</v>
      </c>
      <c r="D45">
        <v>0.42929292929292928</v>
      </c>
      <c r="E45">
        <v>-0.17817459772241043</v>
      </c>
    </row>
    <row r="46" spans="2:5" x14ac:dyDescent="0.3">
      <c r="B46">
        <f>LNs!E55</f>
        <v>-0.15016961479303892</v>
      </c>
      <c r="C46">
        <v>44</v>
      </c>
      <c r="D46">
        <v>0.43939393939393939</v>
      </c>
      <c r="E46">
        <v>-0.15250597424624437</v>
      </c>
    </row>
    <row r="47" spans="2:5" x14ac:dyDescent="0.3">
      <c r="B47">
        <f>LNs!E46</f>
        <v>-0.13041169252468532</v>
      </c>
      <c r="C47">
        <v>45</v>
      </c>
      <c r="D47">
        <v>0.4494949494949495</v>
      </c>
      <c r="E47">
        <v>-0.12693745830564304</v>
      </c>
    </row>
    <row r="48" spans="2:5" x14ac:dyDescent="0.3">
      <c r="B48">
        <f>LNs!E25</f>
        <v>-0.12621876659530623</v>
      </c>
      <c r="C48">
        <v>46</v>
      </c>
      <c r="D48">
        <v>0.45959595959595961</v>
      </c>
      <c r="E48">
        <v>-0.1014516726419474</v>
      </c>
    </row>
    <row r="49" spans="2:5" x14ac:dyDescent="0.3">
      <c r="B49">
        <f>LNs!E76</f>
        <v>-0.125193676753491</v>
      </c>
      <c r="C49">
        <v>47</v>
      </c>
      <c r="D49">
        <v>0.46969696969696972</v>
      </c>
      <c r="E49">
        <v>-7.60316231203884E-2</v>
      </c>
    </row>
    <row r="50" spans="2:5" x14ac:dyDescent="0.3">
      <c r="B50">
        <f>LNs!E5</f>
        <v>-0.11655853566259709</v>
      </c>
      <c r="C50">
        <v>48</v>
      </c>
      <c r="D50">
        <v>0.47979797979797978</v>
      </c>
      <c r="E50">
        <v>-5.0660616765876576E-2</v>
      </c>
    </row>
    <row r="51" spans="2:5" x14ac:dyDescent="0.3">
      <c r="B51">
        <f>LNs!E22</f>
        <v>-9.9520932593857123E-2</v>
      </c>
      <c r="C51">
        <v>49</v>
      </c>
      <c r="D51">
        <v>0.48989898989898989</v>
      </c>
      <c r="E51">
        <v>-2.5322183413346296E-2</v>
      </c>
    </row>
    <row r="52" spans="2:5" x14ac:dyDescent="0.3">
      <c r="B52">
        <f>LNs!E90</f>
        <v>-8.2705750426356195E-2</v>
      </c>
      <c r="C52">
        <v>50</v>
      </c>
      <c r="D52">
        <v>0.5</v>
      </c>
      <c r="E52">
        <v>0</v>
      </c>
    </row>
    <row r="53" spans="2:5" x14ac:dyDescent="0.3">
      <c r="B53">
        <f>LNs!E24</f>
        <v>-7.1043901984146646E-2</v>
      </c>
      <c r="C53">
        <v>51</v>
      </c>
      <c r="D53">
        <v>0.51010101010101006</v>
      </c>
      <c r="E53">
        <v>2.5322183413346164E-2</v>
      </c>
    </row>
    <row r="54" spans="2:5" x14ac:dyDescent="0.3">
      <c r="B54">
        <f>LNs!E27</f>
        <v>-4.9996241188009875E-2</v>
      </c>
      <c r="C54">
        <v>52</v>
      </c>
      <c r="D54">
        <v>0.52020202020202022</v>
      </c>
      <c r="E54">
        <v>5.0660616765876576E-2</v>
      </c>
    </row>
    <row r="55" spans="2:5" x14ac:dyDescent="0.3">
      <c r="B55">
        <f>LNs!E43</f>
        <v>-4.2210457989692515E-2</v>
      </c>
      <c r="C55">
        <v>53</v>
      </c>
      <c r="D55">
        <v>0.53030303030303028</v>
      </c>
      <c r="E55">
        <v>7.60316231203884E-2</v>
      </c>
    </row>
    <row r="56" spans="2:5" x14ac:dyDescent="0.3">
      <c r="B56">
        <f>LNs!E51</f>
        <v>-1.3705492656123809E-2</v>
      </c>
      <c r="C56">
        <v>54</v>
      </c>
      <c r="D56">
        <v>0.54040404040404044</v>
      </c>
      <c r="E56">
        <v>0.10145167264194754</v>
      </c>
    </row>
    <row r="57" spans="2:5" x14ac:dyDescent="0.3">
      <c r="B57">
        <f>LNs!E82</f>
        <v>8.6921138875056189E-3</v>
      </c>
      <c r="C57">
        <v>55</v>
      </c>
      <c r="D57">
        <v>0.5505050505050505</v>
      </c>
      <c r="E57">
        <v>0.12693745830564304</v>
      </c>
    </row>
    <row r="58" spans="2:5" x14ac:dyDescent="0.3">
      <c r="B58">
        <f>LNs!E50</f>
        <v>2.2974063559821404E-2</v>
      </c>
      <c r="C58">
        <v>56</v>
      </c>
      <c r="D58">
        <v>0.56060606060606055</v>
      </c>
      <c r="E58">
        <v>0.15250597424624424</v>
      </c>
    </row>
    <row r="59" spans="2:5" x14ac:dyDescent="0.3">
      <c r="B59">
        <f>LNs!E39</f>
        <v>3.5270614081919331E-2</v>
      </c>
      <c r="C59">
        <v>57</v>
      </c>
      <c r="D59">
        <v>0.57070707070707072</v>
      </c>
      <c r="E59">
        <v>0.17817459772241043</v>
      </c>
    </row>
    <row r="60" spans="2:5" x14ac:dyDescent="0.3">
      <c r="B60">
        <f>LNs!E57</f>
        <v>4.260919652291649E-2</v>
      </c>
      <c r="C60">
        <v>58</v>
      </c>
      <c r="D60">
        <v>0.58080808080808077</v>
      </c>
      <c r="E60">
        <v>0.2039611757513142</v>
      </c>
    </row>
    <row r="61" spans="2:5" x14ac:dyDescent="0.3">
      <c r="B61">
        <f>LNs!E91</f>
        <v>5.3341694981823208E-2</v>
      </c>
      <c r="C61">
        <v>59</v>
      </c>
      <c r="D61">
        <v>0.59090909090909094</v>
      </c>
      <c r="E61">
        <v>0.22988411757923222</v>
      </c>
    </row>
    <row r="62" spans="2:5" x14ac:dyDescent="0.3">
      <c r="B62">
        <f>LNs!E83</f>
        <v>5.9494571785639667E-2</v>
      </c>
      <c r="C62">
        <v>60</v>
      </c>
      <c r="D62">
        <v>0.60101010101010099</v>
      </c>
      <c r="E62">
        <v>0.25596249429406465</v>
      </c>
    </row>
    <row r="63" spans="2:5" x14ac:dyDescent="0.3">
      <c r="B63">
        <f>LNs!E89</f>
        <v>6.4729127970934483E-2</v>
      </c>
      <c r="C63">
        <v>61</v>
      </c>
      <c r="D63">
        <v>0.61111111111111116</v>
      </c>
      <c r="E63">
        <v>0.28221614706250825</v>
      </c>
    </row>
    <row r="64" spans="2:5" x14ac:dyDescent="0.3">
      <c r="B64">
        <f>LNs!E96</f>
        <v>7.5543370048507613E-2</v>
      </c>
      <c r="C64">
        <v>62</v>
      </c>
      <c r="D64">
        <v>0.62121212121212122</v>
      </c>
      <c r="E64">
        <v>0.30866580569493407</v>
      </c>
    </row>
    <row r="65" spans="2:5" x14ac:dyDescent="0.3">
      <c r="B65">
        <f>LNs!E92</f>
        <v>8.6260261639775446E-2</v>
      </c>
      <c r="C65">
        <v>63</v>
      </c>
      <c r="D65">
        <v>0.63131313131313127</v>
      </c>
      <c r="E65">
        <v>0.3353332195143981</v>
      </c>
    </row>
    <row r="66" spans="2:5" x14ac:dyDescent="0.3">
      <c r="B66">
        <f>LNs!E81</f>
        <v>0.12301377589514426</v>
      </c>
      <c r="C66">
        <v>64</v>
      </c>
      <c r="D66">
        <v>0.64141414141414144</v>
      </c>
      <c r="E66">
        <v>0.3622413028447366</v>
      </c>
    </row>
    <row r="67" spans="2:5" x14ac:dyDescent="0.3">
      <c r="B67">
        <f>LNs!E20</f>
        <v>0.14471487372638192</v>
      </c>
      <c r="C67">
        <v>65</v>
      </c>
      <c r="D67">
        <v>0.65151515151515149</v>
      </c>
      <c r="E67">
        <v>0.38941429785214438</v>
      </c>
    </row>
    <row r="68" spans="2:5" x14ac:dyDescent="0.3">
      <c r="B68">
        <f>LNs!E95</f>
        <v>0.17291074703976736</v>
      </c>
      <c r="C68">
        <v>66</v>
      </c>
      <c r="D68">
        <v>0.66161616161616166</v>
      </c>
      <c r="E68">
        <v>0.41687795799540739</v>
      </c>
    </row>
    <row r="69" spans="2:5" x14ac:dyDescent="0.3">
      <c r="B69">
        <f>LNs!E80</f>
        <v>0.1757500114109157</v>
      </c>
      <c r="C69">
        <v>67</v>
      </c>
      <c r="D69">
        <v>0.67171717171717171</v>
      </c>
      <c r="E69">
        <v>0.4446597559886718</v>
      </c>
    </row>
    <row r="70" spans="2:5" x14ac:dyDescent="0.3">
      <c r="B70">
        <f>LNs!E18</f>
        <v>0.17732576524888419</v>
      </c>
      <c r="C70">
        <v>68</v>
      </c>
      <c r="D70">
        <v>0.68181818181818177</v>
      </c>
      <c r="E70">
        <v>0.47278912099226728</v>
      </c>
    </row>
    <row r="71" spans="2:5" x14ac:dyDescent="0.3">
      <c r="B71">
        <f>LNs!E84</f>
        <v>0.19124826161047553</v>
      </c>
      <c r="C71">
        <v>69</v>
      </c>
      <c r="D71">
        <v>0.69191919191919193</v>
      </c>
      <c r="E71">
        <v>0.50129771076772867</v>
      </c>
    </row>
    <row r="72" spans="2:5" x14ac:dyDescent="0.3">
      <c r="B72">
        <f>LNs!E93</f>
        <v>0.20910142045377147</v>
      </c>
      <c r="C72">
        <v>70</v>
      </c>
      <c r="D72">
        <v>0.70202020202020199</v>
      </c>
      <c r="E72">
        <v>0.53021972582422772</v>
      </c>
    </row>
    <row r="73" spans="2:5" x14ac:dyDescent="0.3">
      <c r="B73">
        <f>LNs!E47</f>
        <v>0.2220950017782338</v>
      </c>
      <c r="C73">
        <v>71</v>
      </c>
      <c r="D73">
        <v>0.71212121212121215</v>
      </c>
      <c r="E73">
        <v>0.55959227422743252</v>
      </c>
    </row>
    <row r="74" spans="2:5" x14ac:dyDescent="0.3">
      <c r="B74">
        <f>LNs!E75</f>
        <v>0.26796394158567727</v>
      </c>
      <c r="C74">
        <v>72</v>
      </c>
      <c r="D74">
        <v>0.72222222222222221</v>
      </c>
      <c r="E74">
        <v>0.58945579784977842</v>
      </c>
    </row>
    <row r="75" spans="2:5" x14ac:dyDescent="0.3">
      <c r="B75">
        <f>LNs!E7</f>
        <v>0.2689349379270729</v>
      </c>
      <c r="C75">
        <v>73</v>
      </c>
      <c r="D75">
        <v>0.73232323232323238</v>
      </c>
      <c r="E75">
        <v>0.61985457356549423</v>
      </c>
    </row>
    <row r="76" spans="2:5" x14ac:dyDescent="0.3">
      <c r="B76">
        <f>LNs!E100</f>
        <v>0.28129924548255775</v>
      </c>
      <c r="C76">
        <v>74</v>
      </c>
      <c r="D76">
        <v>0.74242424242424243</v>
      </c>
      <c r="E76">
        <v>0.65083730644447746</v>
      </c>
    </row>
    <row r="77" spans="2:5" x14ac:dyDescent="0.3">
      <c r="B77">
        <f>LNs!E13</f>
        <v>0.2879045477023271</v>
      </c>
      <c r="C77">
        <v>75</v>
      </c>
      <c r="D77">
        <v>0.75252525252525249</v>
      </c>
      <c r="E77">
        <v>0.68245783666933024</v>
      </c>
    </row>
    <row r="78" spans="2:5" x14ac:dyDescent="0.3">
      <c r="B78">
        <f>LNs!E101</f>
        <v>0.29015900232667352</v>
      </c>
      <c r="C78">
        <v>76</v>
      </c>
      <c r="D78">
        <v>0.76262626262626265</v>
      </c>
      <c r="E78">
        <v>0.71477598810315091</v>
      </c>
    </row>
    <row r="79" spans="2:5" x14ac:dyDescent="0.3">
      <c r="B79">
        <f>LNs!E98</f>
        <v>0.34274537641430347</v>
      </c>
      <c r="C79">
        <v>77</v>
      </c>
      <c r="D79">
        <v>0.77272727272727271</v>
      </c>
      <c r="E79">
        <v>0.74785859476330196</v>
      </c>
    </row>
    <row r="80" spans="2:5" x14ac:dyDescent="0.3">
      <c r="B80">
        <f>LNs!E12</f>
        <v>0.34613256786137242</v>
      </c>
      <c r="C80">
        <v>78</v>
      </c>
      <c r="D80">
        <v>0.78282828282828287</v>
      </c>
      <c r="E80">
        <v>0.78178075276507275</v>
      </c>
    </row>
    <row r="81" spans="2:5" x14ac:dyDescent="0.3">
      <c r="B81">
        <f>LNs!E23</f>
        <v>0.3595886948406376</v>
      </c>
      <c r="C81">
        <v>79</v>
      </c>
      <c r="D81">
        <v>0.79292929292929293</v>
      </c>
      <c r="E81">
        <v>0.81662736084860543</v>
      </c>
    </row>
    <row r="82" spans="2:5" x14ac:dyDescent="0.3">
      <c r="B82">
        <f>LNs!E78</f>
        <v>0.38473164772125207</v>
      </c>
      <c r="C82">
        <v>80</v>
      </c>
      <c r="D82">
        <v>0.80303030303030298</v>
      </c>
      <c r="E82">
        <v>0.85249503427469353</v>
      </c>
    </row>
    <row r="83" spans="2:5" x14ac:dyDescent="0.3">
      <c r="B83">
        <f>LNs!E102</f>
        <v>0.40423101359335084</v>
      </c>
      <c r="C83">
        <v>81</v>
      </c>
      <c r="D83">
        <v>0.81313131313131315</v>
      </c>
      <c r="E83">
        <v>0.88949450753063364</v>
      </c>
    </row>
    <row r="84" spans="2:5" x14ac:dyDescent="0.3">
      <c r="B84">
        <f>LNs!E87</f>
        <v>0.43674411280063002</v>
      </c>
      <c r="C84">
        <v>82</v>
      </c>
      <c r="D84">
        <v>0.8232323232323232</v>
      </c>
      <c r="E84">
        <v>0.92775368535742475</v>
      </c>
    </row>
    <row r="85" spans="2:5" x14ac:dyDescent="0.3">
      <c r="B85">
        <f>LNs!E79</f>
        <v>0.48304324275353905</v>
      </c>
      <c r="C85">
        <v>83</v>
      </c>
      <c r="D85">
        <v>0.83333333333333337</v>
      </c>
      <c r="E85">
        <v>0.96742156610170071</v>
      </c>
    </row>
    <row r="86" spans="2:5" x14ac:dyDescent="0.3">
      <c r="B86">
        <f>LNs!E6</f>
        <v>0.48433790092888779</v>
      </c>
      <c r="C86">
        <v>84</v>
      </c>
      <c r="D86">
        <v>0.84343434343434343</v>
      </c>
      <c r="E86">
        <v>1.0086733576467986</v>
      </c>
    </row>
    <row r="87" spans="2:5" x14ac:dyDescent="0.3">
      <c r="B87">
        <f>LNs!E8</f>
        <v>0.50502080837761887</v>
      </c>
      <c r="C87">
        <v>85</v>
      </c>
      <c r="D87">
        <v>0.85353535353535348</v>
      </c>
      <c r="E87">
        <v>1.0517172529984837</v>
      </c>
    </row>
    <row r="88" spans="2:5" x14ac:dyDescent="0.3">
      <c r="B88">
        <f>LNs!E64</f>
        <v>0.5296100858490167</v>
      </c>
      <c r="C88">
        <v>86</v>
      </c>
      <c r="D88">
        <v>0.86363636363636365</v>
      </c>
      <c r="E88">
        <v>1.096803562093513</v>
      </c>
    </row>
    <row r="89" spans="2:5" x14ac:dyDescent="0.3">
      <c r="B89">
        <f>LNs!E17</f>
        <v>0.53178052811237941</v>
      </c>
      <c r="C89">
        <v>87</v>
      </c>
      <c r="D89">
        <v>0.8737373737373737</v>
      </c>
      <c r="E89">
        <v>1.1442372651002066</v>
      </c>
    </row>
    <row r="90" spans="2:5" x14ac:dyDescent="0.3">
      <c r="B90">
        <f>LNs!E77</f>
        <v>0.60141558996035249</v>
      </c>
      <c r="C90">
        <v>88</v>
      </c>
      <c r="D90">
        <v>0.88383838383838387</v>
      </c>
      <c r="E90">
        <v>1.1943956635681565</v>
      </c>
    </row>
    <row r="91" spans="2:5" x14ac:dyDescent="0.3">
      <c r="B91">
        <f>LNs!E99</f>
        <v>0.60469294496847803</v>
      </c>
      <c r="C91">
        <v>89</v>
      </c>
      <c r="D91">
        <v>0.89393939393939392</v>
      </c>
      <c r="E91">
        <v>1.2477538553513243</v>
      </c>
    </row>
    <row r="92" spans="2:5" x14ac:dyDescent="0.3">
      <c r="B92">
        <f>LNs!E11</f>
        <v>0.62359879766224013</v>
      </c>
      <c r="C92">
        <v>90</v>
      </c>
      <c r="D92">
        <v>0.90404040404040409</v>
      </c>
      <c r="E92">
        <v>1.3049226377527239</v>
      </c>
    </row>
    <row r="93" spans="2:5" x14ac:dyDescent="0.3">
      <c r="B93">
        <f>LNs!E15</f>
        <v>0.65373564920202831</v>
      </c>
      <c r="C93">
        <v>91</v>
      </c>
      <c r="D93">
        <v>0.91414141414141414</v>
      </c>
      <c r="E93">
        <v>1.3667069718079636</v>
      </c>
    </row>
    <row r="94" spans="2:5" x14ac:dyDescent="0.3">
      <c r="B94">
        <f>LNs!E88</f>
        <v>0.72136527863392985</v>
      </c>
      <c r="C94">
        <v>92</v>
      </c>
      <c r="D94">
        <v>0.9242424242424242</v>
      </c>
      <c r="E94">
        <v>1.434200159686378</v>
      </c>
    </row>
    <row r="95" spans="2:5" x14ac:dyDescent="0.3">
      <c r="B95">
        <f>LNs!E16</f>
        <v>0.74534581500348374</v>
      </c>
      <c r="C95">
        <v>93</v>
      </c>
      <c r="D95">
        <v>0.93434343434343436</v>
      </c>
      <c r="E95">
        <v>1.5089438550380383</v>
      </c>
    </row>
    <row r="96" spans="2:5" x14ac:dyDescent="0.3">
      <c r="B96">
        <f>LNs!E14</f>
        <v>0.75491937895254635</v>
      </c>
      <c r="C96">
        <v>94</v>
      </c>
      <c r="D96">
        <v>0.94444444444444442</v>
      </c>
      <c r="E96">
        <v>1.59321881802305</v>
      </c>
    </row>
    <row r="97" spans="2:5" x14ac:dyDescent="0.3">
      <c r="B97">
        <f>LNs!E86</f>
        <v>0.78602258051014406</v>
      </c>
      <c r="C97">
        <v>95</v>
      </c>
      <c r="D97">
        <v>0.95454545454545459</v>
      </c>
      <c r="E97">
        <v>1.6906216295848984</v>
      </c>
    </row>
    <row r="98" spans="2:5" x14ac:dyDescent="0.3">
      <c r="B98">
        <f>LNs!E97</f>
        <v>0.92821139756984317</v>
      </c>
      <c r="C98">
        <v>96</v>
      </c>
      <c r="D98">
        <v>0.96464646464646464</v>
      </c>
      <c r="E98">
        <v>1.807354196799112</v>
      </c>
    </row>
    <row r="99" spans="2:5" x14ac:dyDescent="0.3">
      <c r="B99">
        <f>LNs!E9</f>
        <v>0.94481987798812872</v>
      </c>
      <c r="C99">
        <v>97</v>
      </c>
      <c r="D99">
        <v>0.9747474747474747</v>
      </c>
      <c r="E99">
        <v>1.9556614355881674</v>
      </c>
    </row>
    <row r="100" spans="2:5" x14ac:dyDescent="0.3">
      <c r="B100">
        <f>LNs!E85</f>
        <v>1.0020499919591552</v>
      </c>
      <c r="C100">
        <v>98</v>
      </c>
      <c r="D100">
        <v>0.98484848484848486</v>
      </c>
      <c r="E100">
        <v>2.166106752892329</v>
      </c>
    </row>
    <row r="101" spans="2:5" x14ac:dyDescent="0.3">
      <c r="B101">
        <f>LNs!E10</f>
        <v>1.1832168827891549</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1506-1B6D-42D8-9FA9-0A420ADCC64A}">
  <dimension ref="B2:E101"/>
  <sheetViews>
    <sheetView workbookViewId="0">
      <selection activeCell="B3" sqref="B3"/>
    </sheetView>
  </sheetViews>
  <sheetFormatPr defaultRowHeight="14.4" x14ac:dyDescent="0.3"/>
  <cols>
    <col min="4" max="4" width="14.33203125" bestFit="1" customWidth="1"/>
    <col min="5" max="5" width="17.88671875" customWidth="1"/>
  </cols>
  <sheetData>
    <row r="2" spans="2:5" x14ac:dyDescent="0.3">
      <c r="B2" t="s">
        <v>11</v>
      </c>
      <c r="C2" t="s">
        <v>4</v>
      </c>
      <c r="D2" t="s">
        <v>5</v>
      </c>
      <c r="E2" t="s">
        <v>6</v>
      </c>
    </row>
    <row r="3" spans="2:5" x14ac:dyDescent="0.3">
      <c r="B3">
        <f>LNs!F41</f>
        <v>-1.0282311812267468</v>
      </c>
      <c r="C3">
        <v>1</v>
      </c>
      <c r="D3">
        <v>5.0505050505050509E-3</v>
      </c>
      <c r="E3">
        <v>-2.5723521109428895</v>
      </c>
    </row>
    <row r="4" spans="2:5" x14ac:dyDescent="0.3">
      <c r="B4">
        <f>LNs!F29</f>
        <v>-0.91760659724538041</v>
      </c>
      <c r="C4">
        <v>2</v>
      </c>
      <c r="D4">
        <v>1.5151515151515152E-2</v>
      </c>
      <c r="E4">
        <v>-2.1661067528923286</v>
      </c>
    </row>
    <row r="5" spans="2:5" x14ac:dyDescent="0.3">
      <c r="B5">
        <f>LNs!F62</f>
        <v>-0.73198988516746011</v>
      </c>
      <c r="C5">
        <v>3</v>
      </c>
      <c r="D5">
        <v>2.5252525252525252E-2</v>
      </c>
      <c r="E5">
        <v>-1.9556614355881679</v>
      </c>
    </row>
    <row r="6" spans="2:5" x14ac:dyDescent="0.3">
      <c r="B6">
        <f>LNs!F54</f>
        <v>-0.73136215963333917</v>
      </c>
      <c r="C6">
        <v>4</v>
      </c>
      <c r="D6">
        <v>3.5353535353535352E-2</v>
      </c>
      <c r="E6">
        <v>-1.807354196799112</v>
      </c>
    </row>
    <row r="7" spans="2:5" x14ac:dyDescent="0.3">
      <c r="B7">
        <f>LNs!F31</f>
        <v>-0.69020551151403653</v>
      </c>
      <c r="C7">
        <v>5</v>
      </c>
      <c r="D7">
        <v>4.5454545454545456E-2</v>
      </c>
      <c r="E7">
        <v>-1.6906216295848977</v>
      </c>
    </row>
    <row r="8" spans="2:5" x14ac:dyDescent="0.3">
      <c r="B8">
        <f>LNs!F49</f>
        <v>-0.65950933031709735</v>
      </c>
      <c r="C8">
        <v>6</v>
      </c>
      <c r="D8">
        <v>5.5555555555555552E-2</v>
      </c>
      <c r="E8">
        <v>-1.5932188180230502</v>
      </c>
    </row>
    <row r="9" spans="2:5" x14ac:dyDescent="0.3">
      <c r="B9">
        <f>LNs!F40</f>
        <v>-0.6478679343611855</v>
      </c>
      <c r="C9">
        <v>7</v>
      </c>
      <c r="D9">
        <v>6.5656565656565663E-2</v>
      </c>
      <c r="E9">
        <v>-1.5089438550380374</v>
      </c>
    </row>
    <row r="10" spans="2:5" x14ac:dyDescent="0.3">
      <c r="B10">
        <f>LNs!F38</f>
        <v>-0.63464811024607337</v>
      </c>
      <c r="C10">
        <v>8</v>
      </c>
      <c r="D10">
        <v>7.575757575757576E-2</v>
      </c>
      <c r="E10">
        <v>-1.4342001596863787</v>
      </c>
    </row>
    <row r="11" spans="2:5" x14ac:dyDescent="0.3">
      <c r="B11">
        <f>LNs!F72</f>
        <v>-0.63353766202184869</v>
      </c>
      <c r="C11">
        <v>9</v>
      </c>
      <c r="D11">
        <v>8.5858585858585856E-2</v>
      </c>
      <c r="E11">
        <v>-1.3667069718079636</v>
      </c>
    </row>
    <row r="12" spans="2:5" x14ac:dyDescent="0.3">
      <c r="B12">
        <f>LNs!F66</f>
        <v>-0.61085224183316122</v>
      </c>
      <c r="C12">
        <v>10</v>
      </c>
      <c r="D12">
        <v>9.5959595959595953E-2</v>
      </c>
      <c r="E12">
        <v>-1.304922637752725</v>
      </c>
    </row>
    <row r="13" spans="2:5" x14ac:dyDescent="0.3">
      <c r="B13">
        <f>LNs!F35</f>
        <v>-0.59997929382765403</v>
      </c>
      <c r="C13">
        <v>11</v>
      </c>
      <c r="D13">
        <v>0.10606060606060606</v>
      </c>
      <c r="E13">
        <v>-1.2477538553513243</v>
      </c>
    </row>
    <row r="14" spans="2:5" x14ac:dyDescent="0.3">
      <c r="B14">
        <f>LNs!F33</f>
        <v>-0.58998066997200893</v>
      </c>
      <c r="C14">
        <v>12</v>
      </c>
      <c r="D14">
        <v>0.11616161616161616</v>
      </c>
      <c r="E14">
        <v>-1.1943956635681565</v>
      </c>
    </row>
    <row r="15" spans="2:5" x14ac:dyDescent="0.3">
      <c r="B15">
        <f>LNs!F4</f>
        <v>-0.55567481378550032</v>
      </c>
      <c r="C15">
        <v>13</v>
      </c>
      <c r="D15">
        <v>0.12626262626262627</v>
      </c>
      <c r="E15">
        <v>-1.1442372651002066</v>
      </c>
    </row>
    <row r="16" spans="2:5" x14ac:dyDescent="0.3">
      <c r="B16">
        <f>LNs!F42</f>
        <v>-0.54316288234496279</v>
      </c>
      <c r="C16">
        <v>14</v>
      </c>
      <c r="D16">
        <v>0.13636363636363635</v>
      </c>
      <c r="E16">
        <v>-1.096803562093513</v>
      </c>
    </row>
    <row r="17" spans="2:5" x14ac:dyDescent="0.3">
      <c r="B17">
        <f>LNs!F70</f>
        <v>-0.53941030062176731</v>
      </c>
      <c r="C17">
        <v>15</v>
      </c>
      <c r="D17">
        <v>0.14646464646464646</v>
      </c>
      <c r="E17">
        <v>-1.0517172529984806</v>
      </c>
    </row>
    <row r="18" spans="2:5" x14ac:dyDescent="0.3">
      <c r="B18">
        <f>LNs!F30</f>
        <v>-0.53329620689335921</v>
      </c>
      <c r="C18">
        <v>16</v>
      </c>
      <c r="D18">
        <v>0.15656565656565657</v>
      </c>
      <c r="E18">
        <v>-1.0086733576467986</v>
      </c>
    </row>
    <row r="19" spans="2:5" x14ac:dyDescent="0.3">
      <c r="B19">
        <f>LNs!F36</f>
        <v>-0.52156137965132798</v>
      </c>
      <c r="C19">
        <v>17</v>
      </c>
      <c r="D19">
        <v>0.16666666666666666</v>
      </c>
      <c r="E19">
        <v>-0.96742156610170071</v>
      </c>
    </row>
    <row r="20" spans="2:5" x14ac:dyDescent="0.3">
      <c r="B20">
        <f>LNs!F65</f>
        <v>-0.51330703325091676</v>
      </c>
      <c r="C20">
        <v>18</v>
      </c>
      <c r="D20">
        <v>0.17676767676767677</v>
      </c>
      <c r="E20">
        <v>-0.92775368535742475</v>
      </c>
    </row>
    <row r="21" spans="2:5" x14ac:dyDescent="0.3">
      <c r="B21">
        <f>LNs!F44</f>
        <v>-0.49856114094600856</v>
      </c>
      <c r="C21">
        <v>19</v>
      </c>
      <c r="D21">
        <v>0.18686868686868688</v>
      </c>
      <c r="E21">
        <v>-0.88949450753063364</v>
      </c>
    </row>
    <row r="22" spans="2:5" x14ac:dyDescent="0.3">
      <c r="B22">
        <f>LNs!F28</f>
        <v>-0.49757381809024281</v>
      </c>
      <c r="C22">
        <v>20</v>
      </c>
      <c r="D22">
        <v>0.19696969696969696</v>
      </c>
      <c r="E22">
        <v>-0.85249503427469364</v>
      </c>
    </row>
    <row r="23" spans="2:5" x14ac:dyDescent="0.3">
      <c r="B23">
        <f>LNs!F53</f>
        <v>-0.46425379129179517</v>
      </c>
      <c r="C23">
        <v>21</v>
      </c>
      <c r="D23">
        <v>0.20707070707070707</v>
      </c>
      <c r="E23">
        <v>-0.81662736084860543</v>
      </c>
    </row>
    <row r="24" spans="2:5" x14ac:dyDescent="0.3">
      <c r="B24">
        <f>LNs!F19</f>
        <v>-0.43561147793373839</v>
      </c>
      <c r="C24">
        <v>22</v>
      </c>
      <c r="D24">
        <v>0.21717171717171718</v>
      </c>
      <c r="E24">
        <v>-0.78178075276507197</v>
      </c>
    </row>
    <row r="25" spans="2:5" x14ac:dyDescent="0.3">
      <c r="B25">
        <f>LNs!F63</f>
        <v>-0.43180805675424827</v>
      </c>
      <c r="C25">
        <v>23</v>
      </c>
      <c r="D25">
        <v>0.22727272727272727</v>
      </c>
      <c r="E25">
        <v>-0.74785859476330196</v>
      </c>
    </row>
    <row r="26" spans="2:5" x14ac:dyDescent="0.3">
      <c r="B26">
        <f>LNs!F26</f>
        <v>-0.41539423918604929</v>
      </c>
      <c r="C26">
        <v>24</v>
      </c>
      <c r="D26">
        <v>0.23737373737373738</v>
      </c>
      <c r="E26">
        <v>-0.71477598810315091</v>
      </c>
    </row>
    <row r="27" spans="2:5" x14ac:dyDescent="0.3">
      <c r="B27">
        <f>LNs!F71</f>
        <v>-0.4082103729016513</v>
      </c>
      <c r="C27">
        <v>25</v>
      </c>
      <c r="D27">
        <v>0.24747474747474749</v>
      </c>
      <c r="E27">
        <v>-0.68245783666933024</v>
      </c>
    </row>
    <row r="28" spans="2:5" x14ac:dyDescent="0.3">
      <c r="B28">
        <f>LNs!F21</f>
        <v>-0.40153185350559262</v>
      </c>
      <c r="C28">
        <v>26</v>
      </c>
      <c r="D28">
        <v>0.25757575757575757</v>
      </c>
      <c r="E28">
        <v>-0.65083730644447746</v>
      </c>
    </row>
    <row r="29" spans="2:5" x14ac:dyDescent="0.3">
      <c r="B29">
        <f>LNs!F69</f>
        <v>-0.39734516426298783</v>
      </c>
      <c r="C29">
        <v>27</v>
      </c>
      <c r="D29">
        <v>0.26767676767676768</v>
      </c>
      <c r="E29">
        <v>-0.61985457356549389</v>
      </c>
    </row>
    <row r="30" spans="2:5" x14ac:dyDescent="0.3">
      <c r="B30">
        <f>LNs!F61</f>
        <v>-0.39139801523527973</v>
      </c>
      <c r="C30">
        <v>28</v>
      </c>
      <c r="D30">
        <v>0.27777777777777779</v>
      </c>
      <c r="E30">
        <v>-0.58945579784977842</v>
      </c>
    </row>
    <row r="31" spans="2:5" x14ac:dyDescent="0.3">
      <c r="B31">
        <f>LNs!F37</f>
        <v>-0.38777500473784965</v>
      </c>
      <c r="C31">
        <v>29</v>
      </c>
      <c r="D31">
        <v>0.2878787878787879</v>
      </c>
      <c r="E31">
        <v>-0.5595922742274323</v>
      </c>
    </row>
    <row r="32" spans="2:5" x14ac:dyDescent="0.3">
      <c r="B32">
        <f>LNs!F45</f>
        <v>-0.35601087876453941</v>
      </c>
      <c r="C32">
        <v>30</v>
      </c>
      <c r="D32">
        <v>0.29797979797979796</v>
      </c>
      <c r="E32">
        <v>-0.53021972582422794</v>
      </c>
    </row>
    <row r="33" spans="2:5" x14ac:dyDescent="0.3">
      <c r="B33">
        <f>LNs!F60</f>
        <v>-0.35385463902582576</v>
      </c>
      <c r="C33">
        <v>31</v>
      </c>
      <c r="D33">
        <v>0.30808080808080807</v>
      </c>
      <c r="E33">
        <v>-0.50129771076772867</v>
      </c>
    </row>
    <row r="34" spans="2:5" x14ac:dyDescent="0.3">
      <c r="B34">
        <f>LNs!F73</f>
        <v>-0.33017073286613258</v>
      </c>
      <c r="C34">
        <v>32</v>
      </c>
      <c r="D34">
        <v>0.31818181818181818</v>
      </c>
      <c r="E34">
        <v>-0.47278912099226744</v>
      </c>
    </row>
    <row r="35" spans="2:5" x14ac:dyDescent="0.3">
      <c r="B35">
        <f>LNs!F48</f>
        <v>-0.29926624396265461</v>
      </c>
      <c r="C35">
        <v>33</v>
      </c>
      <c r="D35">
        <v>0.32828282828282829</v>
      </c>
      <c r="E35">
        <v>-0.4446597559886718</v>
      </c>
    </row>
    <row r="36" spans="2:5" x14ac:dyDescent="0.3">
      <c r="B36">
        <f>LNs!F56</f>
        <v>-0.27864569047581494</v>
      </c>
      <c r="C36">
        <v>34</v>
      </c>
      <c r="D36">
        <v>0.3383838383838384</v>
      </c>
      <c r="E36">
        <v>-0.41687795799540722</v>
      </c>
    </row>
    <row r="37" spans="2:5" x14ac:dyDescent="0.3">
      <c r="B37">
        <f>LNs!F58</f>
        <v>-0.25709208685223617</v>
      </c>
      <c r="C37">
        <v>35</v>
      </c>
      <c r="D37">
        <v>0.34848484848484851</v>
      </c>
      <c r="E37">
        <v>-0.38941429785214438</v>
      </c>
    </row>
    <row r="38" spans="2:5" x14ac:dyDescent="0.3">
      <c r="B38">
        <f>LNs!F94</f>
        <v>-0.25371487848615742</v>
      </c>
      <c r="C38">
        <v>36</v>
      </c>
      <c r="D38">
        <v>0.35858585858585856</v>
      </c>
      <c r="E38">
        <v>-0.3622413028447366</v>
      </c>
    </row>
    <row r="39" spans="2:5" x14ac:dyDescent="0.3">
      <c r="B39">
        <f>LNs!F46</f>
        <v>-0.21804407576951096</v>
      </c>
      <c r="C39">
        <v>37</v>
      </c>
      <c r="D39">
        <v>0.36868686868686867</v>
      </c>
      <c r="E39">
        <v>-0.33533321951439826</v>
      </c>
    </row>
    <row r="40" spans="2:5" x14ac:dyDescent="0.3">
      <c r="B40">
        <f>LNs!F32</f>
        <v>-0.2137082045277246</v>
      </c>
      <c r="C40">
        <v>38</v>
      </c>
      <c r="D40">
        <v>0.37878787878787878</v>
      </c>
      <c r="E40">
        <v>-0.30866580569493407</v>
      </c>
    </row>
    <row r="41" spans="2:5" x14ac:dyDescent="0.3">
      <c r="B41">
        <f>LNs!F68</f>
        <v>-0.21271808583062701</v>
      </c>
      <c r="C41">
        <v>39</v>
      </c>
      <c r="D41">
        <v>0.3888888888888889</v>
      </c>
      <c r="E41">
        <v>-0.28221614706250814</v>
      </c>
    </row>
    <row r="42" spans="2:5" x14ac:dyDescent="0.3">
      <c r="B42">
        <f>LNs!F34</f>
        <v>-0.20893127585918397</v>
      </c>
      <c r="C42">
        <v>40</v>
      </c>
      <c r="D42">
        <v>0.39898989898989901</v>
      </c>
      <c r="E42">
        <v>-0.25596249429406465</v>
      </c>
    </row>
    <row r="43" spans="2:5" x14ac:dyDescent="0.3">
      <c r="B43">
        <f>LNs!F55</f>
        <v>-0.2069196238538957</v>
      </c>
      <c r="C43">
        <v>41</v>
      </c>
      <c r="D43">
        <v>0.40909090909090912</v>
      </c>
      <c r="E43">
        <v>-0.22988411757923208</v>
      </c>
    </row>
    <row r="44" spans="2:5" x14ac:dyDescent="0.3">
      <c r="B44">
        <f>LNs!F52</f>
        <v>-0.20066925101874994</v>
      </c>
      <c r="C44">
        <v>42</v>
      </c>
      <c r="D44">
        <v>0.41919191919191917</v>
      </c>
      <c r="E44">
        <v>-0.20396117575131437</v>
      </c>
    </row>
    <row r="45" spans="2:5" x14ac:dyDescent="0.3">
      <c r="B45">
        <f>LNs!F27</f>
        <v>-0.15132999503493108</v>
      </c>
      <c r="C45">
        <v>43</v>
      </c>
      <c r="D45">
        <v>0.42929292929292928</v>
      </c>
      <c r="E45">
        <v>-0.17817459772241043</v>
      </c>
    </row>
    <row r="46" spans="2:5" x14ac:dyDescent="0.3">
      <c r="B46">
        <f>LNs!F43</f>
        <v>-0.13180602478516493</v>
      </c>
      <c r="C46">
        <v>44</v>
      </c>
      <c r="D46">
        <v>0.43939393939393939</v>
      </c>
      <c r="E46">
        <v>-0.15250597424624437</v>
      </c>
    </row>
    <row r="47" spans="2:5" x14ac:dyDescent="0.3">
      <c r="B47">
        <f>LNs!F25</f>
        <v>-0.13105560278014874</v>
      </c>
      <c r="C47">
        <v>45</v>
      </c>
      <c r="D47">
        <v>0.4494949494949495</v>
      </c>
      <c r="E47">
        <v>-0.12693745830564304</v>
      </c>
    </row>
    <row r="48" spans="2:5" x14ac:dyDescent="0.3">
      <c r="B48">
        <f>LNs!F74</f>
        <v>-0.13059399671340113</v>
      </c>
      <c r="C48">
        <v>46</v>
      </c>
      <c r="D48">
        <v>0.45959595959595961</v>
      </c>
      <c r="E48">
        <v>-0.1014516726419474</v>
      </c>
    </row>
    <row r="49" spans="2:5" x14ac:dyDescent="0.3">
      <c r="B49">
        <f>LNs!F22</f>
        <v>-0.12317152753728026</v>
      </c>
      <c r="C49">
        <v>47</v>
      </c>
      <c r="D49">
        <v>0.46969696969696972</v>
      </c>
      <c r="E49">
        <v>-7.60316231203884E-2</v>
      </c>
    </row>
    <row r="50" spans="2:5" x14ac:dyDescent="0.3">
      <c r="B50">
        <f>LNs!F90</f>
        <v>-0.11946845517825723</v>
      </c>
      <c r="C50">
        <v>48</v>
      </c>
      <c r="D50">
        <v>0.47979797979797978</v>
      </c>
      <c r="E50">
        <v>-5.0660616765876576E-2</v>
      </c>
    </row>
    <row r="51" spans="2:5" x14ac:dyDescent="0.3">
      <c r="B51">
        <f>LNs!F59</f>
        <v>-0.11681587850367758</v>
      </c>
      <c r="C51">
        <v>49</v>
      </c>
      <c r="D51">
        <v>0.48989898989898989</v>
      </c>
      <c r="E51">
        <v>-2.5322183413346296E-2</v>
      </c>
    </row>
    <row r="52" spans="2:5" x14ac:dyDescent="0.3">
      <c r="B52">
        <f>LNs!F67</f>
        <v>-0.1120864172415932</v>
      </c>
      <c r="C52">
        <v>50</v>
      </c>
      <c r="D52">
        <v>0.5</v>
      </c>
      <c r="E52">
        <v>0</v>
      </c>
    </row>
    <row r="53" spans="2:5" x14ac:dyDescent="0.3">
      <c r="B53">
        <f>LNs!F24</f>
        <v>-6.1078912490819003E-2</v>
      </c>
      <c r="C53">
        <v>51</v>
      </c>
      <c r="D53">
        <v>0.51010101010101006</v>
      </c>
      <c r="E53">
        <v>2.5322183413346164E-2</v>
      </c>
    </row>
    <row r="54" spans="2:5" x14ac:dyDescent="0.3">
      <c r="B54">
        <f>LNs!F82</f>
        <v>-5.8859742632313708E-2</v>
      </c>
      <c r="C54">
        <v>52</v>
      </c>
      <c r="D54">
        <v>0.52020202020202022</v>
      </c>
      <c r="E54">
        <v>5.0660616765876576E-2</v>
      </c>
    </row>
    <row r="55" spans="2:5" x14ac:dyDescent="0.3">
      <c r="B55">
        <f>LNs!F91</f>
        <v>-5.6143987368040084E-2</v>
      </c>
      <c r="C55">
        <v>53</v>
      </c>
      <c r="D55">
        <v>0.53030303030303028</v>
      </c>
      <c r="E55">
        <v>7.60316231203884E-2</v>
      </c>
    </row>
    <row r="56" spans="2:5" x14ac:dyDescent="0.3">
      <c r="B56">
        <f>LNs!F18</f>
        <v>-4.1744294708346487E-2</v>
      </c>
      <c r="C56">
        <v>54</v>
      </c>
      <c r="D56">
        <v>0.54040404040404044</v>
      </c>
      <c r="E56">
        <v>0.10145167264194754</v>
      </c>
    </row>
    <row r="57" spans="2:5" x14ac:dyDescent="0.3">
      <c r="B57">
        <f>LNs!F5</f>
        <v>-4.0581398465807245E-2</v>
      </c>
      <c r="C57">
        <v>55</v>
      </c>
      <c r="D57">
        <v>0.5505050505050505</v>
      </c>
      <c r="E57">
        <v>0.12693745830564304</v>
      </c>
    </row>
    <row r="58" spans="2:5" x14ac:dyDescent="0.3">
      <c r="B58">
        <f>LNs!F50</f>
        <v>-3.276495646549462E-2</v>
      </c>
      <c r="C58">
        <v>56</v>
      </c>
      <c r="D58">
        <v>0.56060606060606055</v>
      </c>
      <c r="E58">
        <v>0.15250597424624424</v>
      </c>
    </row>
    <row r="59" spans="2:5" x14ac:dyDescent="0.3">
      <c r="B59">
        <f>LNs!F20</f>
        <v>-2.2288554654749489E-2</v>
      </c>
      <c r="C59">
        <v>57</v>
      </c>
      <c r="D59">
        <v>0.57070707070707072</v>
      </c>
      <c r="E59">
        <v>0.17817459772241043</v>
      </c>
    </row>
    <row r="60" spans="2:5" x14ac:dyDescent="0.3">
      <c r="B60">
        <f>LNs!F57</f>
        <v>3.300915360694557E-2</v>
      </c>
      <c r="C60">
        <v>58</v>
      </c>
      <c r="D60">
        <v>0.58080808080808077</v>
      </c>
      <c r="E60">
        <v>0.2039611757513142</v>
      </c>
    </row>
    <row r="61" spans="2:5" x14ac:dyDescent="0.3">
      <c r="B61">
        <f>LNs!F51</f>
        <v>3.5772467088128444E-2</v>
      </c>
      <c r="C61">
        <v>59</v>
      </c>
      <c r="D61">
        <v>0.59090909090909094</v>
      </c>
      <c r="E61">
        <v>0.22988411757923222</v>
      </c>
    </row>
    <row r="62" spans="2:5" x14ac:dyDescent="0.3">
      <c r="B62">
        <f>LNs!F39</f>
        <v>3.8489676780523667E-2</v>
      </c>
      <c r="C62">
        <v>60</v>
      </c>
      <c r="D62">
        <v>0.60101010101010099</v>
      </c>
      <c r="E62">
        <v>0.25596249429406465</v>
      </c>
    </row>
    <row r="63" spans="2:5" x14ac:dyDescent="0.3">
      <c r="B63">
        <f>LNs!F83</f>
        <v>4.0930788601964328E-2</v>
      </c>
      <c r="C63">
        <v>61</v>
      </c>
      <c r="D63">
        <v>0.61111111111111116</v>
      </c>
      <c r="E63">
        <v>0.28221614706250825</v>
      </c>
    </row>
    <row r="64" spans="2:5" x14ac:dyDescent="0.3">
      <c r="B64">
        <f>LNs!F89</f>
        <v>4.2590030622885112E-2</v>
      </c>
      <c r="C64">
        <v>62</v>
      </c>
      <c r="D64">
        <v>0.62121212121212122</v>
      </c>
      <c r="E64">
        <v>0.30866580569493407</v>
      </c>
    </row>
    <row r="65" spans="2:5" x14ac:dyDescent="0.3">
      <c r="B65">
        <f>LNs!F96</f>
        <v>4.6501833651419862E-2</v>
      </c>
      <c r="C65">
        <v>63</v>
      </c>
      <c r="D65">
        <v>0.63131313131313127</v>
      </c>
      <c r="E65">
        <v>0.3353332195143981</v>
      </c>
    </row>
    <row r="66" spans="2:5" x14ac:dyDescent="0.3">
      <c r="B66">
        <f>LNs!F81</f>
        <v>5.2744241254859707E-2</v>
      </c>
      <c r="C66">
        <v>64</v>
      </c>
      <c r="D66">
        <v>0.64141414141414144</v>
      </c>
      <c r="E66">
        <v>0.3622413028447366</v>
      </c>
    </row>
    <row r="67" spans="2:5" x14ac:dyDescent="0.3">
      <c r="B67">
        <f>LNs!F92</f>
        <v>5.4118798887495961E-2</v>
      </c>
      <c r="C67">
        <v>65</v>
      </c>
      <c r="D67">
        <v>0.65151515151515149</v>
      </c>
      <c r="E67">
        <v>0.38941429785214438</v>
      </c>
    </row>
    <row r="68" spans="2:5" x14ac:dyDescent="0.3">
      <c r="B68">
        <f>LNs!F76</f>
        <v>8.133110809837274E-2</v>
      </c>
      <c r="C68">
        <v>66</v>
      </c>
      <c r="D68">
        <v>0.66161616161616166</v>
      </c>
      <c r="E68">
        <v>0.41687795799540739</v>
      </c>
    </row>
    <row r="69" spans="2:5" x14ac:dyDescent="0.3">
      <c r="B69">
        <f>LNs!F84</f>
        <v>0.121137403468957</v>
      </c>
      <c r="C69">
        <v>67</v>
      </c>
      <c r="D69">
        <v>0.67171717171717171</v>
      </c>
      <c r="E69">
        <v>0.4446597559886718</v>
      </c>
    </row>
    <row r="70" spans="2:5" x14ac:dyDescent="0.3">
      <c r="B70">
        <f>LNs!F47</f>
        <v>0.12841959964458946</v>
      </c>
      <c r="C70">
        <v>68</v>
      </c>
      <c r="D70">
        <v>0.68181818181818177</v>
      </c>
      <c r="E70">
        <v>0.47278912099226728</v>
      </c>
    </row>
    <row r="71" spans="2:5" x14ac:dyDescent="0.3">
      <c r="B71">
        <f>LNs!F13</f>
        <v>0.14166447922970632</v>
      </c>
      <c r="C71">
        <v>69</v>
      </c>
      <c r="D71">
        <v>0.69191919191919193</v>
      </c>
      <c r="E71">
        <v>0.50129771076772867</v>
      </c>
    </row>
    <row r="72" spans="2:5" x14ac:dyDescent="0.3">
      <c r="B72">
        <f>LNs!F95</f>
        <v>0.16877183924687161</v>
      </c>
      <c r="C72">
        <v>70</v>
      </c>
      <c r="D72">
        <v>0.70202020202020199</v>
      </c>
      <c r="E72">
        <v>0.53021972582422772</v>
      </c>
    </row>
    <row r="73" spans="2:5" x14ac:dyDescent="0.3">
      <c r="B73">
        <f>LNs!F93</f>
        <v>0.17088136665139889</v>
      </c>
      <c r="C73">
        <v>71</v>
      </c>
      <c r="D73">
        <v>0.71212121212121215</v>
      </c>
      <c r="E73">
        <v>0.55959227422743252</v>
      </c>
    </row>
    <row r="74" spans="2:5" x14ac:dyDescent="0.3">
      <c r="B74">
        <f>LNs!F80</f>
        <v>0.2005870556007992</v>
      </c>
      <c r="C74">
        <v>72</v>
      </c>
      <c r="D74">
        <v>0.72222222222222221</v>
      </c>
      <c r="E74">
        <v>0.58945579784977842</v>
      </c>
    </row>
    <row r="75" spans="2:5" x14ac:dyDescent="0.3">
      <c r="B75">
        <f>LNs!F12</f>
        <v>0.20659944925347809</v>
      </c>
      <c r="C75">
        <v>73</v>
      </c>
      <c r="D75">
        <v>0.73232323232323238</v>
      </c>
      <c r="E75">
        <v>0.61985457356549423</v>
      </c>
    </row>
    <row r="76" spans="2:5" x14ac:dyDescent="0.3">
      <c r="B76">
        <f>LNs!F101</f>
        <v>0.22475824699121125</v>
      </c>
      <c r="C76">
        <v>74</v>
      </c>
      <c r="D76">
        <v>0.74242424242424243</v>
      </c>
      <c r="E76">
        <v>0.65083730644447746</v>
      </c>
    </row>
    <row r="77" spans="2:5" x14ac:dyDescent="0.3">
      <c r="B77">
        <f>LNs!F100</f>
        <v>0.254006357342068</v>
      </c>
      <c r="C77">
        <v>75</v>
      </c>
      <c r="D77">
        <v>0.75252525252525249</v>
      </c>
      <c r="E77">
        <v>0.68245783666933024</v>
      </c>
    </row>
    <row r="78" spans="2:5" x14ac:dyDescent="0.3">
      <c r="B78">
        <f>LNs!F98</f>
        <v>0.30140004927997721</v>
      </c>
      <c r="C78">
        <v>76</v>
      </c>
      <c r="D78">
        <v>0.76262626262626265</v>
      </c>
      <c r="E78">
        <v>0.71477598810315091</v>
      </c>
    </row>
    <row r="79" spans="2:5" x14ac:dyDescent="0.3">
      <c r="B79">
        <f>LNs!F75</f>
        <v>0.31086867352710612</v>
      </c>
      <c r="C79">
        <v>77</v>
      </c>
      <c r="D79">
        <v>0.77272727272727271</v>
      </c>
      <c r="E79">
        <v>0.74785859476330196</v>
      </c>
    </row>
    <row r="80" spans="2:5" x14ac:dyDescent="0.3">
      <c r="B80">
        <f>LNs!F7</f>
        <v>0.32026300249045142</v>
      </c>
      <c r="C80">
        <v>78</v>
      </c>
      <c r="D80">
        <v>0.78282828282828287</v>
      </c>
      <c r="E80">
        <v>0.78178075276507275</v>
      </c>
    </row>
    <row r="81" spans="2:5" x14ac:dyDescent="0.3">
      <c r="B81">
        <f>LNs!F17</f>
        <v>0.37448342738832319</v>
      </c>
      <c r="C81">
        <v>79</v>
      </c>
      <c r="D81">
        <v>0.79292929292929293</v>
      </c>
      <c r="E81">
        <v>0.81662736084860543</v>
      </c>
    </row>
    <row r="82" spans="2:5" x14ac:dyDescent="0.3">
      <c r="B82">
        <f>LNs!F102</f>
        <v>0.38510592596406379</v>
      </c>
      <c r="C82">
        <v>80</v>
      </c>
      <c r="D82">
        <v>0.80303030303030298</v>
      </c>
      <c r="E82">
        <v>0.85249503427469353</v>
      </c>
    </row>
    <row r="83" spans="2:5" x14ac:dyDescent="0.3">
      <c r="B83">
        <f>LNs!F87</f>
        <v>0.41164596718324553</v>
      </c>
      <c r="C83">
        <v>81</v>
      </c>
      <c r="D83">
        <v>0.81313131313131315</v>
      </c>
      <c r="E83">
        <v>0.88949450753063364</v>
      </c>
    </row>
    <row r="84" spans="2:5" x14ac:dyDescent="0.3">
      <c r="B84">
        <f>LNs!F78</f>
        <v>0.42137782656821349</v>
      </c>
      <c r="C84">
        <v>82</v>
      </c>
      <c r="D84">
        <v>0.8232323232323232</v>
      </c>
      <c r="E84">
        <v>0.92775368535742475</v>
      </c>
    </row>
    <row r="85" spans="2:5" x14ac:dyDescent="0.3">
      <c r="B85">
        <f>LNs!F23</f>
        <v>0.43105487910716078</v>
      </c>
      <c r="C85">
        <v>83</v>
      </c>
      <c r="D85">
        <v>0.83333333333333337</v>
      </c>
      <c r="E85">
        <v>0.96742156610170071</v>
      </c>
    </row>
    <row r="86" spans="2:5" x14ac:dyDescent="0.3">
      <c r="B86">
        <f>LNs!F79</f>
        <v>0.52976317110602789</v>
      </c>
      <c r="C86">
        <v>84</v>
      </c>
      <c r="D86">
        <v>0.84343434343434343</v>
      </c>
      <c r="E86">
        <v>1.0086733576467986</v>
      </c>
    </row>
    <row r="87" spans="2:5" x14ac:dyDescent="0.3">
      <c r="B87">
        <f>LNs!F6</f>
        <v>0.55711552201681824</v>
      </c>
      <c r="C87">
        <v>85</v>
      </c>
      <c r="D87">
        <v>0.85353535353535348</v>
      </c>
      <c r="E87">
        <v>1.0517172529984837</v>
      </c>
    </row>
    <row r="88" spans="2:5" x14ac:dyDescent="0.3">
      <c r="B88">
        <f>LNs!F99</f>
        <v>0.56963400898753513</v>
      </c>
      <c r="C88">
        <v>86</v>
      </c>
      <c r="D88">
        <v>0.86363636363636365</v>
      </c>
      <c r="E88">
        <v>1.096803562093513</v>
      </c>
    </row>
    <row r="89" spans="2:5" x14ac:dyDescent="0.3">
      <c r="B89">
        <f>LNs!F11</f>
        <v>0.57227813807895689</v>
      </c>
      <c r="C89">
        <v>87</v>
      </c>
      <c r="D89">
        <v>0.8737373737373737</v>
      </c>
      <c r="E89">
        <v>1.1442372651002066</v>
      </c>
    </row>
    <row r="90" spans="2:5" x14ac:dyDescent="0.3">
      <c r="B90">
        <f>LNs!F64</f>
        <v>0.5929345031282478</v>
      </c>
      <c r="C90">
        <v>88</v>
      </c>
      <c r="D90">
        <v>0.88383838383838387</v>
      </c>
      <c r="E90">
        <v>1.1943956635681565</v>
      </c>
    </row>
    <row r="91" spans="2:5" x14ac:dyDescent="0.3">
      <c r="B91">
        <f>LNs!F8</f>
        <v>0.6003244046000803</v>
      </c>
      <c r="C91">
        <v>89</v>
      </c>
      <c r="D91">
        <v>0.89393939393939392</v>
      </c>
      <c r="E91">
        <v>1.2477538553513243</v>
      </c>
    </row>
    <row r="92" spans="2:5" x14ac:dyDescent="0.3">
      <c r="B92">
        <f>LNs!F77</f>
        <v>0.64843220153251735</v>
      </c>
      <c r="C92">
        <v>90</v>
      </c>
      <c r="D92">
        <v>0.90404040404040409</v>
      </c>
      <c r="E92">
        <v>1.3049226377527239</v>
      </c>
    </row>
    <row r="93" spans="2:5" x14ac:dyDescent="0.3">
      <c r="B93">
        <f>LNs!F88</f>
        <v>0.67714482308243951</v>
      </c>
      <c r="C93">
        <v>91</v>
      </c>
      <c r="D93">
        <v>0.91414141414141414</v>
      </c>
      <c r="E93">
        <v>1.3667069718079636</v>
      </c>
    </row>
    <row r="94" spans="2:5" x14ac:dyDescent="0.3">
      <c r="B94">
        <f>LNs!F16</f>
        <v>0.70667526203963704</v>
      </c>
      <c r="C94">
        <v>92</v>
      </c>
      <c r="D94">
        <v>0.9242424242424242</v>
      </c>
      <c r="E94">
        <v>1.434200159686378</v>
      </c>
    </row>
    <row r="95" spans="2:5" x14ac:dyDescent="0.3">
      <c r="B95">
        <f>LNs!F15</f>
        <v>0.72397217113786061</v>
      </c>
      <c r="C95">
        <v>93</v>
      </c>
      <c r="D95">
        <v>0.93434343434343436</v>
      </c>
      <c r="E95">
        <v>1.5089438550380383</v>
      </c>
    </row>
    <row r="96" spans="2:5" x14ac:dyDescent="0.3">
      <c r="B96">
        <f>LNs!F14</f>
        <v>0.75198668058237872</v>
      </c>
      <c r="C96">
        <v>94</v>
      </c>
      <c r="D96">
        <v>0.94444444444444442</v>
      </c>
      <c r="E96">
        <v>1.59321881802305</v>
      </c>
    </row>
    <row r="97" spans="2:5" x14ac:dyDescent="0.3">
      <c r="B97">
        <f>LNs!F86</f>
        <v>0.76195470153721889</v>
      </c>
      <c r="C97">
        <v>95</v>
      </c>
      <c r="D97">
        <v>0.95454545454545459</v>
      </c>
      <c r="E97">
        <v>1.6906216295848984</v>
      </c>
    </row>
    <row r="98" spans="2:5" x14ac:dyDescent="0.3">
      <c r="B98">
        <f>LNs!F9</f>
        <v>0.91497787044861234</v>
      </c>
      <c r="C98">
        <v>96</v>
      </c>
      <c r="D98">
        <v>0.96464646464646464</v>
      </c>
      <c r="E98">
        <v>1.807354196799112</v>
      </c>
    </row>
    <row r="99" spans="2:5" x14ac:dyDescent="0.3">
      <c r="B99">
        <f>LNs!F97</f>
        <v>0.9204221856536039</v>
      </c>
      <c r="C99">
        <v>97</v>
      </c>
      <c r="D99">
        <v>0.9747474747474747</v>
      </c>
      <c r="E99">
        <v>1.9556614355881674</v>
      </c>
    </row>
    <row r="100" spans="2:5" x14ac:dyDescent="0.3">
      <c r="B100">
        <f>LNs!F85</f>
        <v>0.99354062017881206</v>
      </c>
      <c r="C100">
        <v>98</v>
      </c>
      <c r="D100">
        <v>0.98484848484848486</v>
      </c>
      <c r="E100">
        <v>2.166106752892329</v>
      </c>
    </row>
    <row r="101" spans="2:5" x14ac:dyDescent="0.3">
      <c r="B101">
        <f>LNs!F10</f>
        <v>1.1302853591229756</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2618-5CF6-4E13-90A9-1A588E089514}">
  <dimension ref="B2:E101"/>
  <sheetViews>
    <sheetView workbookViewId="0">
      <selection activeCell="B3" sqref="B3"/>
    </sheetView>
  </sheetViews>
  <sheetFormatPr defaultRowHeight="14.4" x14ac:dyDescent="0.3"/>
  <cols>
    <col min="4" max="4" width="14.33203125" bestFit="1" customWidth="1"/>
    <col min="5" max="5" width="17.88671875" customWidth="1"/>
  </cols>
  <sheetData>
    <row r="2" spans="2:5" x14ac:dyDescent="0.3">
      <c r="B2" t="s">
        <v>12</v>
      </c>
      <c r="C2" t="s">
        <v>4</v>
      </c>
      <c r="D2" t="s">
        <v>5</v>
      </c>
      <c r="E2" t="s">
        <v>6</v>
      </c>
    </row>
    <row r="3" spans="2:5" x14ac:dyDescent="0.3">
      <c r="B3">
        <f>LNs!G41</f>
        <v>-1.1267185962908794</v>
      </c>
      <c r="C3">
        <v>1</v>
      </c>
      <c r="D3">
        <v>5.0505050505050509E-3</v>
      </c>
      <c r="E3">
        <v>-2.5723521109428895</v>
      </c>
    </row>
    <row r="4" spans="2:5" x14ac:dyDescent="0.3">
      <c r="B4">
        <f>LNs!G29</f>
        <v>-0.94960452527909212</v>
      </c>
      <c r="C4">
        <v>2</v>
      </c>
      <c r="D4">
        <v>1.5151515151515152E-2</v>
      </c>
      <c r="E4">
        <v>-2.1661067528923286</v>
      </c>
    </row>
    <row r="5" spans="2:5" x14ac:dyDescent="0.3">
      <c r="B5">
        <f>LNs!G40</f>
        <v>-0.77708981641038488</v>
      </c>
      <c r="C5">
        <v>3</v>
      </c>
      <c r="D5">
        <v>2.5252525252525252E-2</v>
      </c>
      <c r="E5">
        <v>-1.9556614355881679</v>
      </c>
    </row>
    <row r="6" spans="2:5" x14ac:dyDescent="0.3">
      <c r="B6">
        <f>LNs!G54</f>
        <v>-0.71705060464150439</v>
      </c>
      <c r="C6">
        <v>4</v>
      </c>
      <c r="D6">
        <v>3.5353535353535352E-2</v>
      </c>
      <c r="E6">
        <v>-1.807354196799112</v>
      </c>
    </row>
    <row r="7" spans="2:5" x14ac:dyDescent="0.3">
      <c r="B7">
        <f>LNs!G38</f>
        <v>-0.71696252805988403</v>
      </c>
      <c r="C7">
        <v>5</v>
      </c>
      <c r="D7">
        <v>4.5454545454545456E-2</v>
      </c>
      <c r="E7">
        <v>-1.6906216295848977</v>
      </c>
    </row>
    <row r="8" spans="2:5" x14ac:dyDescent="0.3">
      <c r="B8">
        <f>LNs!G31</f>
        <v>-0.69892785651897205</v>
      </c>
      <c r="C8">
        <v>6</v>
      </c>
      <c r="D8">
        <v>5.5555555555555552E-2</v>
      </c>
      <c r="E8">
        <v>-1.5932188180230502</v>
      </c>
    </row>
    <row r="9" spans="2:5" x14ac:dyDescent="0.3">
      <c r="B9">
        <f>LNs!G35</f>
        <v>-0.69873677326744088</v>
      </c>
      <c r="C9">
        <v>7</v>
      </c>
      <c r="D9">
        <v>6.5656565656565663E-2</v>
      </c>
      <c r="E9">
        <v>-1.5089438550380374</v>
      </c>
    </row>
    <row r="10" spans="2:5" x14ac:dyDescent="0.3">
      <c r="B10">
        <f>LNs!G42</f>
        <v>-0.66747358587525041</v>
      </c>
      <c r="C10">
        <v>8</v>
      </c>
      <c r="D10">
        <v>7.575757575757576E-2</v>
      </c>
      <c r="E10">
        <v>-1.4342001596863787</v>
      </c>
    </row>
    <row r="11" spans="2:5" x14ac:dyDescent="0.3">
      <c r="B11">
        <f>LNs!G62</f>
        <v>-0.66525189712121235</v>
      </c>
      <c r="C11">
        <v>9</v>
      </c>
      <c r="D11">
        <v>8.5858585858585856E-2</v>
      </c>
      <c r="E11">
        <v>-1.3667069718079636</v>
      </c>
    </row>
    <row r="12" spans="2:5" x14ac:dyDescent="0.3">
      <c r="B12">
        <f>LNs!G36</f>
        <v>-0.61697348633710292</v>
      </c>
      <c r="C12">
        <v>10</v>
      </c>
      <c r="D12">
        <v>9.5959595959595953E-2</v>
      </c>
      <c r="E12">
        <v>-1.304922637752725</v>
      </c>
    </row>
    <row r="13" spans="2:5" x14ac:dyDescent="0.3">
      <c r="B13">
        <f>LNs!G49</f>
        <v>-0.61277160521607632</v>
      </c>
      <c r="C13">
        <v>11</v>
      </c>
      <c r="D13">
        <v>0.10606060606060606</v>
      </c>
      <c r="E13">
        <v>-1.2477538553513243</v>
      </c>
    </row>
    <row r="14" spans="2:5" x14ac:dyDescent="0.3">
      <c r="B14">
        <f>LNs!G66</f>
        <v>-0.60399409865845499</v>
      </c>
      <c r="C14">
        <v>12</v>
      </c>
      <c r="D14">
        <v>0.11616161616161616</v>
      </c>
      <c r="E14">
        <v>-1.1943956635681565</v>
      </c>
    </row>
    <row r="15" spans="2:5" x14ac:dyDescent="0.3">
      <c r="B15">
        <f>LNs!G72</f>
        <v>-0.5942217255636858</v>
      </c>
      <c r="C15">
        <v>13</v>
      </c>
      <c r="D15">
        <v>0.12626262626262627</v>
      </c>
      <c r="E15">
        <v>-1.1442372651002066</v>
      </c>
    </row>
    <row r="16" spans="2:5" x14ac:dyDescent="0.3">
      <c r="B16">
        <f>LNs!G30</f>
        <v>-0.56619387619557104</v>
      </c>
      <c r="C16">
        <v>14</v>
      </c>
      <c r="D16">
        <v>0.13636363636363635</v>
      </c>
      <c r="E16">
        <v>-1.096803562093513</v>
      </c>
    </row>
    <row r="17" spans="2:5" x14ac:dyDescent="0.3">
      <c r="B17">
        <f>LNs!G33</f>
        <v>-0.55672821100141401</v>
      </c>
      <c r="C17">
        <v>15</v>
      </c>
      <c r="D17">
        <v>0.14646464646464646</v>
      </c>
      <c r="E17">
        <v>-1.0517172529984806</v>
      </c>
    </row>
    <row r="18" spans="2:5" x14ac:dyDescent="0.3">
      <c r="B18">
        <f>LNs!G70</f>
        <v>-0.54307853519614768</v>
      </c>
      <c r="C18">
        <v>16</v>
      </c>
      <c r="D18">
        <v>0.15656565656565657</v>
      </c>
      <c r="E18">
        <v>-1.0086733576467986</v>
      </c>
    </row>
    <row r="19" spans="2:5" x14ac:dyDescent="0.3">
      <c r="B19">
        <f>LNs!G44</f>
        <v>-0.52511557382719387</v>
      </c>
      <c r="C19">
        <v>17</v>
      </c>
      <c r="D19">
        <v>0.16666666666666666</v>
      </c>
      <c r="E19">
        <v>-0.96742156610170071</v>
      </c>
    </row>
    <row r="20" spans="2:5" x14ac:dyDescent="0.3">
      <c r="B20">
        <f>LNs!G37</f>
        <v>-0.48648591896870497</v>
      </c>
      <c r="C20">
        <v>18</v>
      </c>
      <c r="D20">
        <v>0.17676767676767677</v>
      </c>
      <c r="E20">
        <v>-0.92775368535742475</v>
      </c>
    </row>
    <row r="21" spans="2:5" x14ac:dyDescent="0.3">
      <c r="B21">
        <f>LNs!G19</f>
        <v>-0.48199200349919635</v>
      </c>
      <c r="C21">
        <v>19</v>
      </c>
      <c r="D21">
        <v>0.18686868686868688</v>
      </c>
      <c r="E21">
        <v>-0.88949450753063364</v>
      </c>
    </row>
    <row r="22" spans="2:5" x14ac:dyDescent="0.3">
      <c r="B22">
        <f>LNs!G71</f>
        <v>-0.46138011882368346</v>
      </c>
      <c r="C22">
        <v>20</v>
      </c>
      <c r="D22">
        <v>0.19696969696969696</v>
      </c>
      <c r="E22">
        <v>-0.85249503427469364</v>
      </c>
    </row>
    <row r="23" spans="2:5" x14ac:dyDescent="0.3">
      <c r="B23">
        <f>LNs!G4</f>
        <v>-0.45466743220383071</v>
      </c>
      <c r="C23">
        <v>21</v>
      </c>
      <c r="D23">
        <v>0.20707070707070707</v>
      </c>
      <c r="E23">
        <v>-0.81662736084860543</v>
      </c>
    </row>
    <row r="24" spans="2:5" x14ac:dyDescent="0.3">
      <c r="B24">
        <f>LNs!G28</f>
        <v>-0.45223129689832509</v>
      </c>
      <c r="C24">
        <v>22</v>
      </c>
      <c r="D24">
        <v>0.21717171717171718</v>
      </c>
      <c r="E24">
        <v>-0.78178075276507197</v>
      </c>
    </row>
    <row r="25" spans="2:5" x14ac:dyDescent="0.3">
      <c r="B25">
        <f>LNs!G53</f>
        <v>-0.41472787538734945</v>
      </c>
      <c r="C25">
        <v>23</v>
      </c>
      <c r="D25">
        <v>0.22727272727272727</v>
      </c>
      <c r="E25">
        <v>-0.74785859476330196</v>
      </c>
    </row>
    <row r="26" spans="2:5" x14ac:dyDescent="0.3">
      <c r="B26">
        <f>LNs!G65</f>
        <v>-0.40576765387051839</v>
      </c>
      <c r="C26">
        <v>24</v>
      </c>
      <c r="D26">
        <v>0.23737373737373738</v>
      </c>
      <c r="E26">
        <v>-0.71477598810315091</v>
      </c>
    </row>
    <row r="27" spans="2:5" x14ac:dyDescent="0.3">
      <c r="B27">
        <f>LNs!G69</f>
        <v>-0.39864491856464696</v>
      </c>
      <c r="C27">
        <v>25</v>
      </c>
      <c r="D27">
        <v>0.24747474747474749</v>
      </c>
      <c r="E27">
        <v>-0.68245783666933024</v>
      </c>
    </row>
    <row r="28" spans="2:5" x14ac:dyDescent="0.3">
      <c r="B28">
        <f>LNs!G21</f>
        <v>-0.39523313375193464</v>
      </c>
      <c r="C28">
        <v>26</v>
      </c>
      <c r="D28">
        <v>0.25757575757575757</v>
      </c>
      <c r="E28">
        <v>-0.65083730644447746</v>
      </c>
    </row>
    <row r="29" spans="2:5" x14ac:dyDescent="0.3">
      <c r="B29">
        <f>LNs!G45</f>
        <v>-0.39339079687539169</v>
      </c>
      <c r="C29">
        <v>27</v>
      </c>
      <c r="D29">
        <v>0.26767676767676768</v>
      </c>
      <c r="E29">
        <v>-0.61985457356549389</v>
      </c>
    </row>
    <row r="30" spans="2:5" x14ac:dyDescent="0.3">
      <c r="B30">
        <f>LNs!G26</f>
        <v>-0.36198616640022729</v>
      </c>
      <c r="C30">
        <v>28</v>
      </c>
      <c r="D30">
        <v>0.27777777777777779</v>
      </c>
      <c r="E30">
        <v>-0.58945579784977842</v>
      </c>
    </row>
    <row r="31" spans="2:5" x14ac:dyDescent="0.3">
      <c r="B31">
        <f>LNs!G63</f>
        <v>-0.35088885852005119</v>
      </c>
      <c r="C31">
        <v>29</v>
      </c>
      <c r="D31">
        <v>0.2878787878787879</v>
      </c>
      <c r="E31">
        <v>-0.5595922742274323</v>
      </c>
    </row>
    <row r="32" spans="2:5" x14ac:dyDescent="0.3">
      <c r="B32">
        <f>LNs!G73</f>
        <v>-0.348117378856176</v>
      </c>
      <c r="C32">
        <v>30</v>
      </c>
      <c r="D32">
        <v>0.29797979797979796</v>
      </c>
      <c r="E32">
        <v>-0.53021972582422794</v>
      </c>
    </row>
    <row r="33" spans="2:5" x14ac:dyDescent="0.3">
      <c r="B33">
        <f>LNs!G94</f>
        <v>-0.34173566418530971</v>
      </c>
      <c r="C33">
        <v>31</v>
      </c>
      <c r="D33">
        <v>0.30808080808080807</v>
      </c>
      <c r="E33">
        <v>-0.50129771076772867</v>
      </c>
    </row>
    <row r="34" spans="2:5" x14ac:dyDescent="0.3">
      <c r="B34">
        <f>LNs!G56</f>
        <v>-0.34066380899974863</v>
      </c>
      <c r="C34">
        <v>32</v>
      </c>
      <c r="D34">
        <v>0.31818181818181818</v>
      </c>
      <c r="E34">
        <v>-0.47278912099226744</v>
      </c>
    </row>
    <row r="35" spans="2:5" x14ac:dyDescent="0.3">
      <c r="B35">
        <f>LNs!G46</f>
        <v>-0.322417074799278</v>
      </c>
      <c r="C35">
        <v>33</v>
      </c>
      <c r="D35">
        <v>0.32828282828282829</v>
      </c>
      <c r="E35">
        <v>-0.4446597559886718</v>
      </c>
    </row>
    <row r="36" spans="2:5" x14ac:dyDescent="0.3">
      <c r="B36">
        <f>LNs!G60</f>
        <v>-0.31198979245614122</v>
      </c>
      <c r="C36">
        <v>34</v>
      </c>
      <c r="D36">
        <v>0.3383838383838384</v>
      </c>
      <c r="E36">
        <v>-0.41687795799540722</v>
      </c>
    </row>
    <row r="37" spans="2:5" x14ac:dyDescent="0.3">
      <c r="B37">
        <f>LNs!G61</f>
        <v>-0.29831978616509242</v>
      </c>
      <c r="C37">
        <v>35</v>
      </c>
      <c r="D37">
        <v>0.34848484848484851</v>
      </c>
      <c r="E37">
        <v>-0.38941429785214438</v>
      </c>
    </row>
    <row r="38" spans="2:5" x14ac:dyDescent="0.3">
      <c r="B38">
        <f>LNs!G82</f>
        <v>-0.28675450277757325</v>
      </c>
      <c r="C38">
        <v>36</v>
      </c>
      <c r="D38">
        <v>0.35858585858585856</v>
      </c>
      <c r="E38">
        <v>-0.3622413028447366</v>
      </c>
    </row>
    <row r="39" spans="2:5" x14ac:dyDescent="0.3">
      <c r="B39">
        <f>LNs!G34</f>
        <v>-0.2818855713379726</v>
      </c>
      <c r="C39">
        <v>37</v>
      </c>
      <c r="D39">
        <v>0.36868686868686867</v>
      </c>
      <c r="E39">
        <v>-0.33533321951439826</v>
      </c>
    </row>
    <row r="40" spans="2:5" x14ac:dyDescent="0.3">
      <c r="B40">
        <f>LNs!G32</f>
        <v>-0.25290454899587456</v>
      </c>
      <c r="C40">
        <v>38</v>
      </c>
      <c r="D40">
        <v>0.37878787878787878</v>
      </c>
      <c r="E40">
        <v>-0.30866580569493407</v>
      </c>
    </row>
    <row r="41" spans="2:5" x14ac:dyDescent="0.3">
      <c r="B41">
        <f>LNs!G83</f>
        <v>-0.24952089476698913</v>
      </c>
      <c r="C41">
        <v>39</v>
      </c>
      <c r="D41">
        <v>0.3888888888888889</v>
      </c>
      <c r="E41">
        <v>-0.28221614706250814</v>
      </c>
    </row>
    <row r="42" spans="2:5" x14ac:dyDescent="0.3">
      <c r="B42">
        <f>LNs!G58</f>
        <v>-0.23975831525052504</v>
      </c>
      <c r="C42">
        <v>40</v>
      </c>
      <c r="D42">
        <v>0.39898989898989901</v>
      </c>
      <c r="E42">
        <v>-0.25596249429406465</v>
      </c>
    </row>
    <row r="43" spans="2:5" x14ac:dyDescent="0.3">
      <c r="B43">
        <f>LNs!G68</f>
        <v>-0.22545497058673772</v>
      </c>
      <c r="C43">
        <v>41</v>
      </c>
      <c r="D43">
        <v>0.40909090909090912</v>
      </c>
      <c r="E43">
        <v>-0.22988411757923208</v>
      </c>
    </row>
    <row r="44" spans="2:5" x14ac:dyDescent="0.3">
      <c r="B44">
        <f>LNs!G48</f>
        <v>-0.2132860465514281</v>
      </c>
      <c r="C44">
        <v>42</v>
      </c>
      <c r="D44">
        <v>0.41919191919191917</v>
      </c>
      <c r="E44">
        <v>-0.20396117575131437</v>
      </c>
    </row>
    <row r="45" spans="2:5" x14ac:dyDescent="0.3">
      <c r="B45">
        <f>LNs!G55</f>
        <v>-0.18898732373785548</v>
      </c>
      <c r="C45">
        <v>43</v>
      </c>
      <c r="D45">
        <v>0.42929292929292928</v>
      </c>
      <c r="E45">
        <v>-0.17817459772241043</v>
      </c>
    </row>
    <row r="46" spans="2:5" x14ac:dyDescent="0.3">
      <c r="B46">
        <f>LNs!G52</f>
        <v>-0.16694636319260484</v>
      </c>
      <c r="C46">
        <v>44</v>
      </c>
      <c r="D46">
        <v>0.43939393939393939</v>
      </c>
      <c r="E46">
        <v>-0.15250597424624437</v>
      </c>
    </row>
    <row r="47" spans="2:5" x14ac:dyDescent="0.3">
      <c r="B47">
        <f>LNs!G43</f>
        <v>-0.16589048917577492</v>
      </c>
      <c r="C47">
        <v>45</v>
      </c>
      <c r="D47">
        <v>0.4494949494949495</v>
      </c>
      <c r="E47">
        <v>-0.12693745830564304</v>
      </c>
    </row>
    <row r="48" spans="2:5" x14ac:dyDescent="0.3">
      <c r="B48">
        <f>LNs!G67</f>
        <v>-0.14690151860269857</v>
      </c>
      <c r="C48">
        <v>46</v>
      </c>
      <c r="D48">
        <v>0.45959595959595961</v>
      </c>
      <c r="E48">
        <v>-0.1014516726419474</v>
      </c>
    </row>
    <row r="49" spans="2:5" x14ac:dyDescent="0.3">
      <c r="B49">
        <f>LNs!G90</f>
        <v>-0.1443358366999925</v>
      </c>
      <c r="C49">
        <v>47</v>
      </c>
      <c r="D49">
        <v>0.46969696969696972</v>
      </c>
      <c r="E49">
        <v>-7.60316231203884E-2</v>
      </c>
    </row>
    <row r="50" spans="2:5" x14ac:dyDescent="0.3">
      <c r="B50">
        <f>LNs!G81</f>
        <v>-0.13593427724083296</v>
      </c>
      <c r="C50">
        <v>48</v>
      </c>
      <c r="D50">
        <v>0.47979797979797978</v>
      </c>
      <c r="E50">
        <v>-5.0660616765876576E-2</v>
      </c>
    </row>
    <row r="51" spans="2:5" x14ac:dyDescent="0.3">
      <c r="B51">
        <f>LNs!G74</f>
        <v>-0.12627549472123972</v>
      </c>
      <c r="C51">
        <v>49</v>
      </c>
      <c r="D51">
        <v>0.48989898989898989</v>
      </c>
      <c r="E51">
        <v>-2.5322183413346296E-2</v>
      </c>
    </row>
    <row r="52" spans="2:5" x14ac:dyDescent="0.3">
      <c r="B52">
        <f>LNs!G59</f>
        <v>-0.11317989637662514</v>
      </c>
      <c r="C52">
        <v>50</v>
      </c>
      <c r="D52">
        <v>0.5</v>
      </c>
      <c r="E52">
        <v>0</v>
      </c>
    </row>
    <row r="53" spans="2:5" x14ac:dyDescent="0.3">
      <c r="B53">
        <f>LNs!G22</f>
        <v>-9.9322116872180496E-2</v>
      </c>
      <c r="C53">
        <v>51</v>
      </c>
      <c r="D53">
        <v>0.51010101010101006</v>
      </c>
      <c r="E53">
        <v>2.5322183413346164E-2</v>
      </c>
    </row>
    <row r="54" spans="2:5" x14ac:dyDescent="0.3">
      <c r="B54">
        <f>LNs!G27</f>
        <v>-9.8859471093245069E-2</v>
      </c>
      <c r="C54">
        <v>52</v>
      </c>
      <c r="D54">
        <v>0.52020202020202022</v>
      </c>
      <c r="E54">
        <v>5.0660616765876576E-2</v>
      </c>
    </row>
    <row r="55" spans="2:5" x14ac:dyDescent="0.3">
      <c r="B55">
        <f>LNs!G39</f>
        <v>-7.0662836531276321E-2</v>
      </c>
      <c r="C55">
        <v>53</v>
      </c>
      <c r="D55">
        <v>0.53030303030303028</v>
      </c>
      <c r="E55">
        <v>7.60316231203884E-2</v>
      </c>
    </row>
    <row r="56" spans="2:5" x14ac:dyDescent="0.3">
      <c r="B56">
        <f>LNs!G18</f>
        <v>-6.4250562601610273E-2</v>
      </c>
      <c r="C56">
        <v>54</v>
      </c>
      <c r="D56">
        <v>0.54040404040404044</v>
      </c>
      <c r="E56">
        <v>0.10145167264194754</v>
      </c>
    </row>
    <row r="57" spans="2:5" x14ac:dyDescent="0.3">
      <c r="B57">
        <f>LNs!G20</f>
        <v>-6.1288342029972957E-2</v>
      </c>
      <c r="C57">
        <v>55</v>
      </c>
      <c r="D57">
        <v>0.5505050505050505</v>
      </c>
      <c r="E57">
        <v>0.12693745830564304</v>
      </c>
    </row>
    <row r="58" spans="2:5" x14ac:dyDescent="0.3">
      <c r="B58">
        <f>LNs!G91</f>
        <v>-6.0356345305796262E-2</v>
      </c>
      <c r="C58">
        <v>56</v>
      </c>
      <c r="D58">
        <v>0.56060606060606055</v>
      </c>
      <c r="E58">
        <v>0.15250597424624424</v>
      </c>
    </row>
    <row r="59" spans="2:5" x14ac:dyDescent="0.3">
      <c r="B59">
        <f>LNs!G57</f>
        <v>-3.0414878570342183E-2</v>
      </c>
      <c r="C59">
        <v>57</v>
      </c>
      <c r="D59">
        <v>0.57070707070707072</v>
      </c>
      <c r="E59">
        <v>0.17817459772241043</v>
      </c>
    </row>
    <row r="60" spans="2:5" x14ac:dyDescent="0.3">
      <c r="B60">
        <f>LNs!G24</f>
        <v>-2.7052645278006462E-2</v>
      </c>
      <c r="C60">
        <v>58</v>
      </c>
      <c r="D60">
        <v>0.58080808080808077</v>
      </c>
      <c r="E60">
        <v>0.2039611757513142</v>
      </c>
    </row>
    <row r="61" spans="2:5" x14ac:dyDescent="0.3">
      <c r="B61">
        <f>LNs!G50</f>
        <v>-2.6469239858385476E-2</v>
      </c>
      <c r="C61">
        <v>59</v>
      </c>
      <c r="D61">
        <v>0.59090909090909094</v>
      </c>
      <c r="E61">
        <v>0.22988411757923222</v>
      </c>
    </row>
    <row r="62" spans="2:5" x14ac:dyDescent="0.3">
      <c r="B62">
        <f>LNs!G5</f>
        <v>-2.5121528152129979E-3</v>
      </c>
      <c r="C62">
        <v>60</v>
      </c>
      <c r="D62">
        <v>0.60101010101010099</v>
      </c>
      <c r="E62">
        <v>0.25596249429406465</v>
      </c>
    </row>
    <row r="63" spans="2:5" x14ac:dyDescent="0.3">
      <c r="B63">
        <f>LNs!G84</f>
        <v>-1.8096364047106401E-3</v>
      </c>
      <c r="C63">
        <v>61</v>
      </c>
      <c r="D63">
        <v>0.61111111111111116</v>
      </c>
      <c r="E63">
        <v>0.28221614706250825</v>
      </c>
    </row>
    <row r="64" spans="2:5" x14ac:dyDescent="0.3">
      <c r="B64">
        <f>LNs!G25</f>
        <v>2.5068552111807475E-3</v>
      </c>
      <c r="C64">
        <v>62</v>
      </c>
      <c r="D64">
        <v>0.62121212121212122</v>
      </c>
      <c r="E64">
        <v>0.30866580569493407</v>
      </c>
    </row>
    <row r="65" spans="2:5" x14ac:dyDescent="0.3">
      <c r="B65">
        <f>LNs!G76</f>
        <v>6.3497972987496638E-3</v>
      </c>
      <c r="C65">
        <v>63</v>
      </c>
      <c r="D65">
        <v>0.63131313131313127</v>
      </c>
      <c r="E65">
        <v>0.3353332195143981</v>
      </c>
    </row>
    <row r="66" spans="2:5" x14ac:dyDescent="0.3">
      <c r="B66">
        <f>LNs!G92</f>
        <v>1.1543121094983403E-2</v>
      </c>
      <c r="C66">
        <v>64</v>
      </c>
      <c r="D66">
        <v>0.64141414141414144</v>
      </c>
      <c r="E66">
        <v>0.3622413028447366</v>
      </c>
    </row>
    <row r="67" spans="2:5" x14ac:dyDescent="0.3">
      <c r="B67">
        <f>LNs!G89</f>
        <v>1.8281863678012478E-2</v>
      </c>
      <c r="C67">
        <v>65</v>
      </c>
      <c r="D67">
        <v>0.65151515151515149</v>
      </c>
      <c r="E67">
        <v>0.38941429785214438</v>
      </c>
    </row>
    <row r="68" spans="2:5" x14ac:dyDescent="0.3">
      <c r="B68">
        <f>LNs!G96</f>
        <v>2.4438921877018138E-2</v>
      </c>
      <c r="C68">
        <v>66</v>
      </c>
      <c r="D68">
        <v>0.66161616161616166</v>
      </c>
      <c r="E68">
        <v>0.41687795799540739</v>
      </c>
    </row>
    <row r="69" spans="2:5" x14ac:dyDescent="0.3">
      <c r="B69">
        <f>LNs!G80</f>
        <v>2.5433801256810135E-2</v>
      </c>
      <c r="C69">
        <v>67</v>
      </c>
      <c r="D69">
        <v>0.67171717171717171</v>
      </c>
      <c r="E69">
        <v>0.4446597559886718</v>
      </c>
    </row>
    <row r="70" spans="2:5" x14ac:dyDescent="0.3">
      <c r="B70">
        <f>LNs!G47</f>
        <v>4.6616374628579524E-2</v>
      </c>
      <c r="C70">
        <v>68</v>
      </c>
      <c r="D70">
        <v>0.68181818181818177</v>
      </c>
      <c r="E70">
        <v>0.47278912099226728</v>
      </c>
    </row>
    <row r="71" spans="2:5" x14ac:dyDescent="0.3">
      <c r="B71">
        <f>LNs!G51</f>
        <v>0.10018012055172802</v>
      </c>
      <c r="C71">
        <v>69</v>
      </c>
      <c r="D71">
        <v>0.69191919191919193</v>
      </c>
      <c r="E71">
        <v>0.50129771076772867</v>
      </c>
    </row>
    <row r="72" spans="2:5" x14ac:dyDescent="0.3">
      <c r="B72">
        <f>LNs!G93</f>
        <v>0.1069063202859943</v>
      </c>
      <c r="C72">
        <v>70</v>
      </c>
      <c r="D72">
        <v>0.70202020202020199</v>
      </c>
      <c r="E72">
        <v>0.53021972582422772</v>
      </c>
    </row>
    <row r="73" spans="2:5" x14ac:dyDescent="0.3">
      <c r="B73">
        <f>LNs!G13</f>
        <v>0.13313131260318295</v>
      </c>
      <c r="C73">
        <v>71</v>
      </c>
      <c r="D73">
        <v>0.71212121212121215</v>
      </c>
      <c r="E73">
        <v>0.55959227422743252</v>
      </c>
    </row>
    <row r="74" spans="2:5" x14ac:dyDescent="0.3">
      <c r="B74">
        <f>LNs!G95</f>
        <v>0.13474940055161441</v>
      </c>
      <c r="C74">
        <v>72</v>
      </c>
      <c r="D74">
        <v>0.72222222222222221</v>
      </c>
      <c r="E74">
        <v>0.58945579784977842</v>
      </c>
    </row>
    <row r="75" spans="2:5" x14ac:dyDescent="0.3">
      <c r="B75">
        <f>LNs!G101</f>
        <v>0.14543278920753538</v>
      </c>
      <c r="C75">
        <v>73</v>
      </c>
      <c r="D75">
        <v>0.73232323232323238</v>
      </c>
      <c r="E75">
        <v>0.61985457356549423</v>
      </c>
    </row>
    <row r="76" spans="2:5" x14ac:dyDescent="0.3">
      <c r="B76">
        <f>LNs!G100</f>
        <v>0.15802886422491008</v>
      </c>
      <c r="C76">
        <v>74</v>
      </c>
      <c r="D76">
        <v>0.74242424242424243</v>
      </c>
      <c r="E76">
        <v>0.65083730644447746</v>
      </c>
    </row>
    <row r="77" spans="2:5" x14ac:dyDescent="0.3">
      <c r="B77">
        <f>LNs!G98</f>
        <v>0.22031555630316293</v>
      </c>
      <c r="C77">
        <v>75</v>
      </c>
      <c r="D77">
        <v>0.75252525252525249</v>
      </c>
      <c r="E77">
        <v>0.68245783666933024</v>
      </c>
    </row>
    <row r="78" spans="2:5" x14ac:dyDescent="0.3">
      <c r="B78">
        <f>LNs!G7</f>
        <v>0.24749269029012594</v>
      </c>
      <c r="C78">
        <v>76</v>
      </c>
      <c r="D78">
        <v>0.76262626262626265</v>
      </c>
      <c r="E78">
        <v>0.71477598810315091</v>
      </c>
    </row>
    <row r="79" spans="2:5" x14ac:dyDescent="0.3">
      <c r="B79">
        <f>LNs!G12</f>
        <v>0.24811710004808318</v>
      </c>
      <c r="C79">
        <v>77</v>
      </c>
      <c r="D79">
        <v>0.77272727272727271</v>
      </c>
      <c r="E79">
        <v>0.74785859476330196</v>
      </c>
    </row>
    <row r="80" spans="2:5" x14ac:dyDescent="0.3">
      <c r="B80">
        <f>LNs!G17</f>
        <v>0.26964538496562962</v>
      </c>
      <c r="C80">
        <v>78</v>
      </c>
      <c r="D80">
        <v>0.78282828282828287</v>
      </c>
      <c r="E80">
        <v>0.78178075276507275</v>
      </c>
    </row>
    <row r="81" spans="2:5" x14ac:dyDescent="0.3">
      <c r="B81">
        <f>LNs!G75</f>
        <v>0.30419252176626521</v>
      </c>
      <c r="C81">
        <v>79</v>
      </c>
      <c r="D81">
        <v>0.79292929292929293</v>
      </c>
      <c r="E81">
        <v>0.81662736084860543</v>
      </c>
    </row>
    <row r="82" spans="2:5" x14ac:dyDescent="0.3">
      <c r="B82">
        <f>LNs!G87</f>
        <v>0.31843918555820305</v>
      </c>
      <c r="C82">
        <v>80</v>
      </c>
      <c r="D82">
        <v>0.80303030303030298</v>
      </c>
      <c r="E82">
        <v>0.85249503427469353</v>
      </c>
    </row>
    <row r="83" spans="2:5" x14ac:dyDescent="0.3">
      <c r="B83">
        <f>LNs!G64</f>
        <v>0.33536448042867528</v>
      </c>
      <c r="C83">
        <v>81</v>
      </c>
      <c r="D83">
        <v>0.81313131313131315</v>
      </c>
      <c r="E83">
        <v>0.88949450753063364</v>
      </c>
    </row>
    <row r="84" spans="2:5" x14ac:dyDescent="0.3">
      <c r="B84">
        <f>LNs!G78</f>
        <v>0.36287071047574376</v>
      </c>
      <c r="C84">
        <v>82</v>
      </c>
      <c r="D84">
        <v>0.8232323232323232</v>
      </c>
      <c r="E84">
        <v>0.92775368535742475</v>
      </c>
    </row>
    <row r="85" spans="2:5" x14ac:dyDescent="0.3">
      <c r="B85">
        <f>LNs!G102</f>
        <v>0.37558305362624361</v>
      </c>
      <c r="C85">
        <v>83</v>
      </c>
      <c r="D85">
        <v>0.83333333333333337</v>
      </c>
      <c r="E85">
        <v>0.96742156610170071</v>
      </c>
    </row>
    <row r="86" spans="2:5" x14ac:dyDescent="0.3">
      <c r="B86">
        <f>LNs!G23</f>
        <v>0.4234294454771092</v>
      </c>
      <c r="C86">
        <v>84</v>
      </c>
      <c r="D86">
        <v>0.84343434343434343</v>
      </c>
      <c r="E86">
        <v>1.0086733576467986</v>
      </c>
    </row>
    <row r="87" spans="2:5" x14ac:dyDescent="0.3">
      <c r="B87">
        <f>LNs!G79</f>
        <v>0.4372673466561075</v>
      </c>
      <c r="C87">
        <v>85</v>
      </c>
      <c r="D87">
        <v>0.85353535353535348</v>
      </c>
      <c r="E87">
        <v>1.0517172529984837</v>
      </c>
    </row>
    <row r="88" spans="2:5" x14ac:dyDescent="0.3">
      <c r="B88">
        <f>LNs!G6</f>
        <v>0.53223871826930713</v>
      </c>
      <c r="C88">
        <v>86</v>
      </c>
      <c r="D88">
        <v>0.86363636363636365</v>
      </c>
      <c r="E88">
        <v>1.096803562093513</v>
      </c>
    </row>
    <row r="89" spans="2:5" x14ac:dyDescent="0.3">
      <c r="B89">
        <f>LNs!G11</f>
        <v>0.53237378555357373</v>
      </c>
      <c r="C89">
        <v>87</v>
      </c>
      <c r="D89">
        <v>0.8737373737373737</v>
      </c>
      <c r="E89">
        <v>1.1442372651002066</v>
      </c>
    </row>
    <row r="90" spans="2:5" x14ac:dyDescent="0.3">
      <c r="B90">
        <f>LNs!G16</f>
        <v>0.55957007260477853</v>
      </c>
      <c r="C90">
        <v>88</v>
      </c>
      <c r="D90">
        <v>0.88383838383838387</v>
      </c>
      <c r="E90">
        <v>1.1943956635681565</v>
      </c>
    </row>
    <row r="91" spans="2:5" x14ac:dyDescent="0.3">
      <c r="B91">
        <f>LNs!G77</f>
        <v>0.58967377208366922</v>
      </c>
      <c r="C91">
        <v>89</v>
      </c>
      <c r="D91">
        <v>0.89393939393939392</v>
      </c>
      <c r="E91">
        <v>1.2477538553513243</v>
      </c>
    </row>
    <row r="92" spans="2:5" x14ac:dyDescent="0.3">
      <c r="B92">
        <f>LNs!G99</f>
        <v>0.60993403569089544</v>
      </c>
      <c r="C92">
        <v>90</v>
      </c>
      <c r="D92">
        <v>0.90404040404040409</v>
      </c>
      <c r="E92">
        <v>1.3049226377527239</v>
      </c>
    </row>
    <row r="93" spans="2:5" x14ac:dyDescent="0.3">
      <c r="B93">
        <f>LNs!G88</f>
        <v>0.6347073578309006</v>
      </c>
      <c r="C93">
        <v>91</v>
      </c>
      <c r="D93">
        <v>0.91414141414141414</v>
      </c>
      <c r="E93">
        <v>1.3667069718079636</v>
      </c>
    </row>
    <row r="94" spans="2:5" x14ac:dyDescent="0.3">
      <c r="B94">
        <f>LNs!G86</f>
        <v>0.64096928450136503</v>
      </c>
      <c r="C94">
        <v>92</v>
      </c>
      <c r="D94">
        <v>0.9242424242424242</v>
      </c>
      <c r="E94">
        <v>1.434200159686378</v>
      </c>
    </row>
    <row r="95" spans="2:5" x14ac:dyDescent="0.3">
      <c r="B95">
        <f>LNs!G8</f>
        <v>0.66544704991766668</v>
      </c>
      <c r="C95">
        <v>93</v>
      </c>
      <c r="D95">
        <v>0.93434343434343436</v>
      </c>
      <c r="E95">
        <v>1.5089438550380383</v>
      </c>
    </row>
    <row r="96" spans="2:5" x14ac:dyDescent="0.3">
      <c r="B96">
        <f>LNs!G14</f>
        <v>0.68292511278964518</v>
      </c>
      <c r="C96">
        <v>94</v>
      </c>
      <c r="D96">
        <v>0.94444444444444442</v>
      </c>
      <c r="E96">
        <v>1.59321881802305</v>
      </c>
    </row>
    <row r="97" spans="2:5" x14ac:dyDescent="0.3">
      <c r="B97">
        <f>LNs!G15</f>
        <v>0.70546105268122683</v>
      </c>
      <c r="C97">
        <v>95</v>
      </c>
      <c r="D97">
        <v>0.95454545454545459</v>
      </c>
      <c r="E97">
        <v>1.6906216295848984</v>
      </c>
    </row>
    <row r="98" spans="2:5" x14ac:dyDescent="0.3">
      <c r="B98">
        <f>LNs!G97</f>
        <v>0.86511953529552166</v>
      </c>
      <c r="C98">
        <v>96</v>
      </c>
      <c r="D98">
        <v>0.96464646464646464</v>
      </c>
      <c r="E98">
        <v>1.807354196799112</v>
      </c>
    </row>
    <row r="99" spans="2:5" x14ac:dyDescent="0.3">
      <c r="B99">
        <f>LNs!G85</f>
        <v>0.92486189428982146</v>
      </c>
      <c r="C99">
        <v>97</v>
      </c>
      <c r="D99">
        <v>0.9747474747474747</v>
      </c>
      <c r="E99">
        <v>1.9556614355881674</v>
      </c>
    </row>
    <row r="100" spans="2:5" x14ac:dyDescent="0.3">
      <c r="B100">
        <f>LNs!G9</f>
        <v>1.0085343965414402</v>
      </c>
      <c r="C100">
        <v>98</v>
      </c>
      <c r="D100">
        <v>0.98484848484848486</v>
      </c>
      <c r="E100">
        <v>2.166106752892329</v>
      </c>
    </row>
    <row r="101" spans="2:5" x14ac:dyDescent="0.3">
      <c r="B101">
        <f>LNs!G10</f>
        <v>1.0990521918964951</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917E-E0C9-4B08-BC51-ECE62A6F2A90}">
  <dimension ref="B2:E101"/>
  <sheetViews>
    <sheetView workbookViewId="0"/>
  </sheetViews>
  <sheetFormatPr defaultRowHeight="14.4" x14ac:dyDescent="0.3"/>
  <cols>
    <col min="4" max="4" width="14.33203125" bestFit="1" customWidth="1"/>
    <col min="5" max="5" width="17.88671875" customWidth="1"/>
  </cols>
  <sheetData>
    <row r="2" spans="2:5" x14ac:dyDescent="0.3">
      <c r="B2" t="s">
        <v>13</v>
      </c>
      <c r="C2" t="s">
        <v>4</v>
      </c>
      <c r="D2" t="s">
        <v>5</v>
      </c>
      <c r="E2" t="s">
        <v>6</v>
      </c>
    </row>
    <row r="3" spans="2:5" x14ac:dyDescent="0.3">
      <c r="B3">
        <f>LNs!H41</f>
        <v>-1.13715251340616</v>
      </c>
      <c r="C3">
        <v>1</v>
      </c>
      <c r="D3">
        <v>5.0505050505050509E-3</v>
      </c>
      <c r="E3">
        <v>-2.5723521109428895</v>
      </c>
    </row>
    <row r="4" spans="2:5" x14ac:dyDescent="0.3">
      <c r="B4">
        <f>LNs!H29</f>
        <v>-0.90849618840824276</v>
      </c>
      <c r="C4">
        <v>2</v>
      </c>
      <c r="D4">
        <v>1.5151515151515152E-2</v>
      </c>
      <c r="E4">
        <v>-2.1661067528923286</v>
      </c>
    </row>
    <row r="5" spans="2:5" x14ac:dyDescent="0.3">
      <c r="B5">
        <f>LNs!H31</f>
        <v>-0.79108861909124739</v>
      </c>
      <c r="C5">
        <v>3</v>
      </c>
      <c r="D5">
        <v>2.5252525252525252E-2</v>
      </c>
      <c r="E5">
        <v>-1.9556614355881679</v>
      </c>
    </row>
    <row r="6" spans="2:5" x14ac:dyDescent="0.3">
      <c r="B6">
        <f>LNs!H42</f>
        <v>-0.78664061165205212</v>
      </c>
      <c r="C6">
        <v>4</v>
      </c>
      <c r="D6">
        <v>3.5353535353535352E-2</v>
      </c>
      <c r="E6">
        <v>-1.807354196799112</v>
      </c>
    </row>
    <row r="7" spans="2:5" x14ac:dyDescent="0.3">
      <c r="B7">
        <f>LNs!H38</f>
        <v>-0.77872903435037277</v>
      </c>
      <c r="C7">
        <v>5</v>
      </c>
      <c r="D7">
        <v>4.5454545454545456E-2</v>
      </c>
      <c r="E7">
        <v>-1.6906216295848977</v>
      </c>
    </row>
    <row r="8" spans="2:5" x14ac:dyDescent="0.3">
      <c r="B8">
        <f>LNs!H54</f>
        <v>-0.74640872647379097</v>
      </c>
      <c r="C8">
        <v>6</v>
      </c>
      <c r="D8">
        <v>5.5555555555555552E-2</v>
      </c>
      <c r="E8">
        <v>-1.5932188180230502</v>
      </c>
    </row>
    <row r="9" spans="2:5" x14ac:dyDescent="0.3">
      <c r="B9">
        <f>LNs!H35</f>
        <v>-0.67401929065176913</v>
      </c>
      <c r="C9">
        <v>7</v>
      </c>
      <c r="D9">
        <v>6.5656565656565663E-2</v>
      </c>
      <c r="E9">
        <v>-1.5089438550380374</v>
      </c>
    </row>
    <row r="10" spans="2:5" x14ac:dyDescent="0.3">
      <c r="B10">
        <f>LNs!H40</f>
        <v>-0.6481432226509366</v>
      </c>
      <c r="C10">
        <v>8</v>
      </c>
      <c r="D10">
        <v>7.575757575757576E-2</v>
      </c>
      <c r="E10">
        <v>-1.4342001596863787</v>
      </c>
    </row>
    <row r="11" spans="2:5" x14ac:dyDescent="0.3">
      <c r="B11">
        <f>LNs!H70</f>
        <v>-0.64320149378778835</v>
      </c>
      <c r="C11">
        <v>9</v>
      </c>
      <c r="D11">
        <v>8.5858585858585856E-2</v>
      </c>
      <c r="E11">
        <v>-1.3667069718079636</v>
      </c>
    </row>
    <row r="12" spans="2:5" x14ac:dyDescent="0.3">
      <c r="B12">
        <f>LNs!H49</f>
        <v>-0.64062114630849865</v>
      </c>
      <c r="C12">
        <v>10</v>
      </c>
      <c r="D12">
        <v>9.5959595959595953E-2</v>
      </c>
      <c r="E12">
        <v>-1.304922637752725</v>
      </c>
    </row>
    <row r="13" spans="2:5" x14ac:dyDescent="0.3">
      <c r="B13">
        <f>LNs!H62</f>
        <v>-0.61444691201628021</v>
      </c>
      <c r="C13">
        <v>11</v>
      </c>
      <c r="D13">
        <v>0.10606060606060606</v>
      </c>
      <c r="E13">
        <v>-1.2477538553513243</v>
      </c>
    </row>
    <row r="14" spans="2:5" x14ac:dyDescent="0.3">
      <c r="B14">
        <f>LNs!H36</f>
        <v>-0.59272463664175956</v>
      </c>
      <c r="C14">
        <v>12</v>
      </c>
      <c r="D14">
        <v>0.11616161616161616</v>
      </c>
      <c r="E14">
        <v>-1.1943956635681565</v>
      </c>
    </row>
    <row r="15" spans="2:5" x14ac:dyDescent="0.3">
      <c r="B15">
        <f>LNs!H30</f>
        <v>-0.58412956026866647</v>
      </c>
      <c r="C15">
        <v>13</v>
      </c>
      <c r="D15">
        <v>0.12626262626262627</v>
      </c>
      <c r="E15">
        <v>-1.1442372651002066</v>
      </c>
    </row>
    <row r="16" spans="2:5" x14ac:dyDescent="0.3">
      <c r="B16">
        <f>LNs!H72</f>
        <v>-0.56891564789066318</v>
      </c>
      <c r="C16">
        <v>14</v>
      </c>
      <c r="D16">
        <v>0.13636363636363635</v>
      </c>
      <c r="E16">
        <v>-1.096803562093513</v>
      </c>
    </row>
    <row r="17" spans="2:5" x14ac:dyDescent="0.3">
      <c r="B17">
        <f>LNs!H37</f>
        <v>-0.56360071723010829</v>
      </c>
      <c r="C17">
        <v>15</v>
      </c>
      <c r="D17">
        <v>0.14646464646464646</v>
      </c>
      <c r="E17">
        <v>-1.0517172529984806</v>
      </c>
    </row>
    <row r="18" spans="2:5" x14ac:dyDescent="0.3">
      <c r="B18">
        <f>LNs!H44</f>
        <v>-0.54462545647729033</v>
      </c>
      <c r="C18">
        <v>16</v>
      </c>
      <c r="D18">
        <v>0.15656565656565657</v>
      </c>
      <c r="E18">
        <v>-1.0086733576467986</v>
      </c>
    </row>
    <row r="19" spans="2:5" x14ac:dyDescent="0.3">
      <c r="B19">
        <f>LNs!H4</f>
        <v>-0.52724468179428585</v>
      </c>
      <c r="C19">
        <v>17</v>
      </c>
      <c r="D19">
        <v>0.16666666666666666</v>
      </c>
      <c r="E19">
        <v>-0.96742156610170071</v>
      </c>
    </row>
    <row r="20" spans="2:5" x14ac:dyDescent="0.3">
      <c r="B20">
        <f>LNs!H66</f>
        <v>-0.52247656650685237</v>
      </c>
      <c r="C20">
        <v>18</v>
      </c>
      <c r="D20">
        <v>0.17676767676767677</v>
      </c>
      <c r="E20">
        <v>-0.92775368535742475</v>
      </c>
    </row>
    <row r="21" spans="2:5" x14ac:dyDescent="0.3">
      <c r="B21">
        <f>LNs!H33</f>
        <v>-0.50586627502383985</v>
      </c>
      <c r="C21">
        <v>19</v>
      </c>
      <c r="D21">
        <v>0.18686868686868688</v>
      </c>
      <c r="E21">
        <v>-0.88949450753063364</v>
      </c>
    </row>
    <row r="22" spans="2:5" x14ac:dyDescent="0.3">
      <c r="B22">
        <f>LNs!H69</f>
        <v>-0.49228195856476153</v>
      </c>
      <c r="C22">
        <v>20</v>
      </c>
      <c r="D22">
        <v>0.19696969696969696</v>
      </c>
      <c r="E22">
        <v>-0.85249503427469364</v>
      </c>
    </row>
    <row r="23" spans="2:5" x14ac:dyDescent="0.3">
      <c r="B23">
        <f>LNs!H53</f>
        <v>-0.4893511920994465</v>
      </c>
      <c r="C23">
        <v>21</v>
      </c>
      <c r="D23">
        <v>0.20707070707070707</v>
      </c>
      <c r="E23">
        <v>-0.81662736084860543</v>
      </c>
    </row>
    <row r="24" spans="2:5" x14ac:dyDescent="0.3">
      <c r="B24">
        <f>LNs!H94</f>
        <v>-0.48930225557174439</v>
      </c>
      <c r="C24">
        <v>22</v>
      </c>
      <c r="D24">
        <v>0.21717171717171718</v>
      </c>
      <c r="E24">
        <v>-0.78178075276507197</v>
      </c>
    </row>
    <row r="25" spans="2:5" x14ac:dyDescent="0.3">
      <c r="B25">
        <f>LNs!H28</f>
        <v>-0.44926496957633949</v>
      </c>
      <c r="C25">
        <v>23</v>
      </c>
      <c r="D25">
        <v>0.22727272727272727</v>
      </c>
      <c r="E25">
        <v>-0.74785859476330196</v>
      </c>
    </row>
    <row r="26" spans="2:5" x14ac:dyDescent="0.3">
      <c r="B26">
        <f>LNs!H71</f>
        <v>-0.43121993464807723</v>
      </c>
      <c r="C26">
        <v>24</v>
      </c>
      <c r="D26">
        <v>0.23737373737373738</v>
      </c>
      <c r="E26">
        <v>-0.71477598810315091</v>
      </c>
    </row>
    <row r="27" spans="2:5" x14ac:dyDescent="0.3">
      <c r="B27">
        <f>LNs!H45</f>
        <v>-0.40585918574655805</v>
      </c>
      <c r="C27">
        <v>25</v>
      </c>
      <c r="D27">
        <v>0.24747474747474749</v>
      </c>
      <c r="E27">
        <v>-0.68245783666933024</v>
      </c>
    </row>
    <row r="28" spans="2:5" x14ac:dyDescent="0.3">
      <c r="B28">
        <f>LNs!H19</f>
        <v>-0.40272337010914666</v>
      </c>
      <c r="C28">
        <v>26</v>
      </c>
      <c r="D28">
        <v>0.25757575757575757</v>
      </c>
      <c r="E28">
        <v>-0.65083730644447746</v>
      </c>
    </row>
    <row r="29" spans="2:5" x14ac:dyDescent="0.3">
      <c r="B29">
        <f>LNs!H26</f>
        <v>-0.39697921535786634</v>
      </c>
      <c r="C29">
        <v>27</v>
      </c>
      <c r="D29">
        <v>0.26767676767676768</v>
      </c>
      <c r="E29">
        <v>-0.61985457356549389</v>
      </c>
    </row>
    <row r="30" spans="2:5" x14ac:dyDescent="0.3">
      <c r="B30">
        <f>LNs!H73</f>
        <v>-0.39258639588480881</v>
      </c>
      <c r="C30">
        <v>28</v>
      </c>
      <c r="D30">
        <v>0.27777777777777779</v>
      </c>
      <c r="E30">
        <v>-0.58945579784977842</v>
      </c>
    </row>
    <row r="31" spans="2:5" x14ac:dyDescent="0.3">
      <c r="B31">
        <f>LNs!H21</f>
        <v>-0.37260109448899159</v>
      </c>
      <c r="C31">
        <v>29</v>
      </c>
      <c r="D31">
        <v>0.2878787878787879</v>
      </c>
      <c r="E31">
        <v>-0.5595922742274323</v>
      </c>
    </row>
    <row r="32" spans="2:5" x14ac:dyDescent="0.3">
      <c r="B32">
        <f>LNs!H56</f>
        <v>-0.37093325511409991</v>
      </c>
      <c r="C32">
        <v>30</v>
      </c>
      <c r="D32">
        <v>0.29797979797979796</v>
      </c>
      <c r="E32">
        <v>-0.53021972582422794</v>
      </c>
    </row>
    <row r="33" spans="2:5" x14ac:dyDescent="0.3">
      <c r="B33">
        <f>LNs!H63</f>
        <v>-0.33659084365474912</v>
      </c>
      <c r="C33">
        <v>31</v>
      </c>
      <c r="D33">
        <v>0.30808080808080807</v>
      </c>
      <c r="E33">
        <v>-0.50129771076772867</v>
      </c>
    </row>
    <row r="34" spans="2:5" x14ac:dyDescent="0.3">
      <c r="B34">
        <f>LNs!H82</f>
        <v>-0.33422456452974331</v>
      </c>
      <c r="C34">
        <v>32</v>
      </c>
      <c r="D34">
        <v>0.31818181818181818</v>
      </c>
      <c r="E34">
        <v>-0.47278912099226744</v>
      </c>
    </row>
    <row r="35" spans="2:5" x14ac:dyDescent="0.3">
      <c r="B35">
        <f>LNs!H61</f>
        <v>-0.3267070714249985</v>
      </c>
      <c r="C35">
        <v>33</v>
      </c>
      <c r="D35">
        <v>0.32828282828282829</v>
      </c>
      <c r="E35">
        <v>-0.4446597559886718</v>
      </c>
    </row>
    <row r="36" spans="2:5" x14ac:dyDescent="0.3">
      <c r="B36">
        <f>LNs!H48</f>
        <v>-0.32568027983650899</v>
      </c>
      <c r="C36">
        <v>34</v>
      </c>
      <c r="D36">
        <v>0.3383838383838384</v>
      </c>
      <c r="E36">
        <v>-0.41687795799540722</v>
      </c>
    </row>
    <row r="37" spans="2:5" x14ac:dyDescent="0.3">
      <c r="B37">
        <f>LNs!H60</f>
        <v>-0.31896636249154731</v>
      </c>
      <c r="C37">
        <v>35</v>
      </c>
      <c r="D37">
        <v>0.34848484848484851</v>
      </c>
      <c r="E37">
        <v>-0.38941429785214438</v>
      </c>
    </row>
    <row r="38" spans="2:5" x14ac:dyDescent="0.3">
      <c r="B38">
        <f>LNs!H65</f>
        <v>-0.30605380396778653</v>
      </c>
      <c r="C38">
        <v>36</v>
      </c>
      <c r="D38">
        <v>0.35858585858585856</v>
      </c>
      <c r="E38">
        <v>-0.3622413028447366</v>
      </c>
    </row>
    <row r="39" spans="2:5" x14ac:dyDescent="0.3">
      <c r="B39">
        <f>LNs!H32</f>
        <v>-0.30260621891018868</v>
      </c>
      <c r="C39">
        <v>37</v>
      </c>
      <c r="D39">
        <v>0.36868686868686867</v>
      </c>
      <c r="E39">
        <v>-0.33533321951439826</v>
      </c>
    </row>
    <row r="40" spans="2:5" x14ac:dyDescent="0.3">
      <c r="B40">
        <f>LNs!H46</f>
        <v>-0.2774743489843598</v>
      </c>
      <c r="C40">
        <v>38</v>
      </c>
      <c r="D40">
        <v>0.37878787878787878</v>
      </c>
      <c r="E40">
        <v>-0.30866580569493407</v>
      </c>
    </row>
    <row r="41" spans="2:5" x14ac:dyDescent="0.3">
      <c r="B41">
        <f>LNs!H83</f>
        <v>-0.2749224899236174</v>
      </c>
      <c r="C41">
        <v>39</v>
      </c>
      <c r="D41">
        <v>0.3888888888888889</v>
      </c>
      <c r="E41">
        <v>-0.28221614706250814</v>
      </c>
    </row>
    <row r="42" spans="2:5" x14ac:dyDescent="0.3">
      <c r="B42">
        <f>LNs!H55</f>
        <v>-0.25946527061372165</v>
      </c>
      <c r="C42">
        <v>40</v>
      </c>
      <c r="D42">
        <v>0.39898989898989901</v>
      </c>
      <c r="E42">
        <v>-0.25596249429406465</v>
      </c>
    </row>
    <row r="43" spans="2:5" x14ac:dyDescent="0.3">
      <c r="B43">
        <f>LNs!H34</f>
        <v>-0.25298696905490303</v>
      </c>
      <c r="C43">
        <v>41</v>
      </c>
      <c r="D43">
        <v>0.40909090909090912</v>
      </c>
      <c r="E43">
        <v>-0.22988411757923208</v>
      </c>
    </row>
    <row r="44" spans="2:5" x14ac:dyDescent="0.3">
      <c r="B44">
        <f>LNs!H68</f>
        <v>-0.2447017687573507</v>
      </c>
      <c r="C44">
        <v>42</v>
      </c>
      <c r="D44">
        <v>0.41919191919191917</v>
      </c>
      <c r="E44">
        <v>-0.20396117575131437</v>
      </c>
    </row>
    <row r="45" spans="2:5" x14ac:dyDescent="0.3">
      <c r="B45">
        <f>LNs!H58</f>
        <v>-0.23662527269354758</v>
      </c>
      <c r="C45">
        <v>43</v>
      </c>
      <c r="D45">
        <v>0.42929292929292928</v>
      </c>
      <c r="E45">
        <v>-0.17817459772241043</v>
      </c>
    </row>
    <row r="46" spans="2:5" x14ac:dyDescent="0.3">
      <c r="B46">
        <f>LNs!H43</f>
        <v>-0.20144688550861059</v>
      </c>
      <c r="C46">
        <v>44</v>
      </c>
      <c r="D46">
        <v>0.43939393939393939</v>
      </c>
      <c r="E46">
        <v>-0.15250597424624437</v>
      </c>
    </row>
    <row r="47" spans="2:5" x14ac:dyDescent="0.3">
      <c r="B47">
        <f>LNs!H81</f>
        <v>-0.19322922975287674</v>
      </c>
      <c r="C47">
        <v>45</v>
      </c>
      <c r="D47">
        <v>0.4494949494949495</v>
      </c>
      <c r="E47">
        <v>-0.12693745830564304</v>
      </c>
    </row>
    <row r="48" spans="2:5" x14ac:dyDescent="0.3">
      <c r="B48">
        <f>LNs!H90</f>
        <v>-0.19311519913431913</v>
      </c>
      <c r="C48">
        <v>46</v>
      </c>
      <c r="D48">
        <v>0.45959595959595961</v>
      </c>
      <c r="E48">
        <v>-0.1014516726419474</v>
      </c>
    </row>
    <row r="49" spans="2:5" x14ac:dyDescent="0.3">
      <c r="B49">
        <f>LNs!H74</f>
        <v>-0.17939464438419506</v>
      </c>
      <c r="C49">
        <v>47</v>
      </c>
      <c r="D49">
        <v>0.46969696969696972</v>
      </c>
      <c r="E49">
        <v>-7.60316231203884E-2</v>
      </c>
    </row>
    <row r="50" spans="2:5" x14ac:dyDescent="0.3">
      <c r="B50">
        <f>LNs!H27</f>
        <v>-0.15863471811732119</v>
      </c>
      <c r="C50">
        <v>48</v>
      </c>
      <c r="D50">
        <v>0.47979797979797978</v>
      </c>
      <c r="E50">
        <v>-5.0660616765876576E-2</v>
      </c>
    </row>
    <row r="51" spans="2:5" x14ac:dyDescent="0.3">
      <c r="B51">
        <f>LNs!H67</f>
        <v>-0.14703935864938855</v>
      </c>
      <c r="C51">
        <v>49</v>
      </c>
      <c r="D51">
        <v>0.48989898989898989</v>
      </c>
      <c r="E51">
        <v>-2.5322183413346296E-2</v>
      </c>
    </row>
    <row r="52" spans="2:5" x14ac:dyDescent="0.3">
      <c r="B52">
        <f>LNs!H22</f>
        <v>-0.11523017198749351</v>
      </c>
      <c r="C52">
        <v>50</v>
      </c>
      <c r="D52">
        <v>0.5</v>
      </c>
      <c r="E52">
        <v>0</v>
      </c>
    </row>
    <row r="53" spans="2:5" x14ac:dyDescent="0.3">
      <c r="B53">
        <f>LNs!H91</f>
        <v>-0.11393270769180056</v>
      </c>
      <c r="C53">
        <v>51</v>
      </c>
      <c r="D53">
        <v>0.51010101010101006</v>
      </c>
      <c r="E53">
        <v>2.5322183413346164E-2</v>
      </c>
    </row>
    <row r="54" spans="2:5" x14ac:dyDescent="0.3">
      <c r="B54">
        <f>LNs!H5</f>
        <v>-0.10461745845988318</v>
      </c>
      <c r="C54">
        <v>52</v>
      </c>
      <c r="D54">
        <v>0.52020202020202022</v>
      </c>
      <c r="E54">
        <v>5.0660616765876576E-2</v>
      </c>
    </row>
    <row r="55" spans="2:5" x14ac:dyDescent="0.3">
      <c r="B55">
        <f>LNs!H76</f>
        <v>-8.7665772878102927E-2</v>
      </c>
      <c r="C55">
        <v>53</v>
      </c>
      <c r="D55">
        <v>0.53030303030303028</v>
      </c>
      <c r="E55">
        <v>7.60316231203884E-2</v>
      </c>
    </row>
    <row r="56" spans="2:5" x14ac:dyDescent="0.3">
      <c r="B56">
        <f>LNs!H52</f>
        <v>-7.6645650876865271E-2</v>
      </c>
      <c r="C56">
        <v>54</v>
      </c>
      <c r="D56">
        <v>0.54040404040404044</v>
      </c>
      <c r="E56">
        <v>0.10145167264194754</v>
      </c>
    </row>
    <row r="57" spans="2:5" x14ac:dyDescent="0.3">
      <c r="B57">
        <f>LNs!H24</f>
        <v>-5.5899676969936855E-2</v>
      </c>
      <c r="C57">
        <v>55</v>
      </c>
      <c r="D57">
        <v>0.5505050505050505</v>
      </c>
      <c r="E57">
        <v>0.12693745830564304</v>
      </c>
    </row>
    <row r="58" spans="2:5" x14ac:dyDescent="0.3">
      <c r="B58">
        <f>LNs!H92</f>
        <v>-3.766863824492539E-2</v>
      </c>
      <c r="C58">
        <v>56</v>
      </c>
      <c r="D58">
        <v>0.56060606060606055</v>
      </c>
      <c r="E58">
        <v>0.15250597424624424</v>
      </c>
    </row>
    <row r="59" spans="2:5" x14ac:dyDescent="0.3">
      <c r="B59">
        <f>LNs!H96</f>
        <v>-3.121825837756036E-2</v>
      </c>
      <c r="C59">
        <v>57</v>
      </c>
      <c r="D59">
        <v>0.57070707070707072</v>
      </c>
      <c r="E59">
        <v>0.17817459772241043</v>
      </c>
    </row>
    <row r="60" spans="2:5" x14ac:dyDescent="0.3">
      <c r="B60">
        <f>LNs!H84</f>
        <v>-2.5556810902186297E-2</v>
      </c>
      <c r="C60">
        <v>58</v>
      </c>
      <c r="D60">
        <v>0.58080808080808077</v>
      </c>
      <c r="E60">
        <v>0.2039611757513142</v>
      </c>
    </row>
    <row r="61" spans="2:5" x14ac:dyDescent="0.3">
      <c r="B61">
        <f>LNs!H20</f>
        <v>-2.2407176190832958E-2</v>
      </c>
      <c r="C61">
        <v>59</v>
      </c>
      <c r="D61">
        <v>0.59090909090909094</v>
      </c>
      <c r="E61">
        <v>0.22988411757923222</v>
      </c>
    </row>
    <row r="62" spans="2:5" x14ac:dyDescent="0.3">
      <c r="B62">
        <f>LNs!H59</f>
        <v>-2.0637495701842784E-2</v>
      </c>
      <c r="C62">
        <v>60</v>
      </c>
      <c r="D62">
        <v>0.60101010101010099</v>
      </c>
      <c r="E62">
        <v>0.25596249429406465</v>
      </c>
    </row>
    <row r="63" spans="2:5" x14ac:dyDescent="0.3">
      <c r="B63">
        <f>LNs!H25</f>
        <v>-2.0089448425427512E-2</v>
      </c>
      <c r="C63">
        <v>61</v>
      </c>
      <c r="D63">
        <v>0.61111111111111116</v>
      </c>
      <c r="E63">
        <v>0.28221614706250825</v>
      </c>
    </row>
    <row r="64" spans="2:5" x14ac:dyDescent="0.3">
      <c r="B64">
        <f>LNs!H57</f>
        <v>-7.8991160334326641E-3</v>
      </c>
      <c r="C64">
        <v>62</v>
      </c>
      <c r="D64">
        <v>0.62121212121212122</v>
      </c>
      <c r="E64">
        <v>0.30866580569493407</v>
      </c>
    </row>
    <row r="65" spans="2:5" x14ac:dyDescent="0.3">
      <c r="B65">
        <f>LNs!H89</f>
        <v>-1.0705728586756619E-3</v>
      </c>
      <c r="C65">
        <v>63</v>
      </c>
      <c r="D65">
        <v>0.63131313131313127</v>
      </c>
      <c r="E65">
        <v>0.3353332195143981</v>
      </c>
    </row>
    <row r="66" spans="2:5" x14ac:dyDescent="0.3">
      <c r="B66">
        <f>LNs!H50</f>
        <v>8.8507165979620564E-3</v>
      </c>
      <c r="C66">
        <v>64</v>
      </c>
      <c r="D66">
        <v>0.64141414141414144</v>
      </c>
      <c r="E66">
        <v>0.3622413028447366</v>
      </c>
    </row>
    <row r="67" spans="2:5" x14ac:dyDescent="0.3">
      <c r="B67">
        <f>LNs!H101</f>
        <v>1.3498484151341713E-2</v>
      </c>
      <c r="C67">
        <v>65</v>
      </c>
      <c r="D67">
        <v>0.65151515151515149</v>
      </c>
      <c r="E67">
        <v>0.38941429785214438</v>
      </c>
    </row>
    <row r="68" spans="2:5" x14ac:dyDescent="0.3">
      <c r="B68">
        <f>LNs!H39</f>
        <v>1.6837451189668309E-2</v>
      </c>
      <c r="C68">
        <v>66</v>
      </c>
      <c r="D68">
        <v>0.66161616161616166</v>
      </c>
      <c r="E68">
        <v>0.41687795799540739</v>
      </c>
    </row>
    <row r="69" spans="2:5" x14ac:dyDescent="0.3">
      <c r="B69">
        <f>LNs!H18</f>
        <v>2.9267497680568143E-2</v>
      </c>
      <c r="C69">
        <v>67</v>
      </c>
      <c r="D69">
        <v>0.67171717171717171</v>
      </c>
      <c r="E69">
        <v>0.4446597559886718</v>
      </c>
    </row>
    <row r="70" spans="2:5" x14ac:dyDescent="0.3">
      <c r="B70">
        <f>LNs!H93</f>
        <v>3.8008440185706129E-2</v>
      </c>
      <c r="C70">
        <v>68</v>
      </c>
      <c r="D70">
        <v>0.68181818181818177</v>
      </c>
      <c r="E70">
        <v>0.47278912099226728</v>
      </c>
    </row>
    <row r="71" spans="2:5" x14ac:dyDescent="0.3">
      <c r="B71">
        <f>LNs!H80</f>
        <v>4.2149113508158281E-2</v>
      </c>
      <c r="C71">
        <v>69</v>
      </c>
      <c r="D71">
        <v>0.69191919191919193</v>
      </c>
      <c r="E71">
        <v>0.50129771076772867</v>
      </c>
    </row>
    <row r="72" spans="2:5" x14ac:dyDescent="0.3">
      <c r="B72">
        <f>LNs!H13</f>
        <v>5.3408056700616088E-2</v>
      </c>
      <c r="C72">
        <v>70</v>
      </c>
      <c r="D72">
        <v>0.70202020202020199</v>
      </c>
      <c r="E72">
        <v>0.53021972582422772</v>
      </c>
    </row>
    <row r="73" spans="2:5" x14ac:dyDescent="0.3">
      <c r="B73">
        <f>LNs!H47</f>
        <v>7.069142812253297E-2</v>
      </c>
      <c r="C73">
        <v>71</v>
      </c>
      <c r="D73">
        <v>0.71212121212121215</v>
      </c>
      <c r="E73">
        <v>0.55959227422743252</v>
      </c>
    </row>
    <row r="74" spans="2:5" x14ac:dyDescent="0.3">
      <c r="B74">
        <f>LNs!H95</f>
        <v>0.10116572983294572</v>
      </c>
      <c r="C74">
        <v>72</v>
      </c>
      <c r="D74">
        <v>0.72222222222222221</v>
      </c>
      <c r="E74">
        <v>0.58945579784977842</v>
      </c>
    </row>
    <row r="75" spans="2:5" x14ac:dyDescent="0.3">
      <c r="B75">
        <f>LNs!H12</f>
        <v>0.13695801504242439</v>
      </c>
      <c r="C75">
        <v>73</v>
      </c>
      <c r="D75">
        <v>0.73232323232323238</v>
      </c>
      <c r="E75">
        <v>0.61985457356549423</v>
      </c>
    </row>
    <row r="76" spans="2:5" x14ac:dyDescent="0.3">
      <c r="B76">
        <f>LNs!H100</f>
        <v>0.13783835433495337</v>
      </c>
      <c r="C76">
        <v>74</v>
      </c>
      <c r="D76">
        <v>0.74242424242424243</v>
      </c>
      <c r="E76">
        <v>0.65083730644447746</v>
      </c>
    </row>
    <row r="77" spans="2:5" x14ac:dyDescent="0.3">
      <c r="B77">
        <f>LNs!H98</f>
        <v>0.17100779689368129</v>
      </c>
      <c r="C77">
        <v>75</v>
      </c>
      <c r="D77">
        <v>0.75252525252525249</v>
      </c>
      <c r="E77">
        <v>0.68245783666933024</v>
      </c>
    </row>
    <row r="78" spans="2:5" x14ac:dyDescent="0.3">
      <c r="B78">
        <f>LNs!H75</f>
        <v>0.19472761575167977</v>
      </c>
      <c r="C78">
        <v>76</v>
      </c>
      <c r="D78">
        <v>0.76262626262626265</v>
      </c>
      <c r="E78">
        <v>0.71477598810315091</v>
      </c>
    </row>
    <row r="79" spans="2:5" x14ac:dyDescent="0.3">
      <c r="B79">
        <f>LNs!H51</f>
        <v>0.2215102181515313</v>
      </c>
      <c r="C79">
        <v>77</v>
      </c>
      <c r="D79">
        <v>0.77272727272727271</v>
      </c>
      <c r="E79">
        <v>0.74785859476330196</v>
      </c>
    </row>
    <row r="80" spans="2:5" x14ac:dyDescent="0.3">
      <c r="B80">
        <f>LNs!H87</f>
        <v>0.2688661581941405</v>
      </c>
      <c r="C80">
        <v>78</v>
      </c>
      <c r="D80">
        <v>0.78282828282828287</v>
      </c>
      <c r="E80">
        <v>0.78178075276507275</v>
      </c>
    </row>
    <row r="81" spans="2:5" x14ac:dyDescent="0.3">
      <c r="B81">
        <f>LNs!H78</f>
        <v>0.2823478708610791</v>
      </c>
      <c r="C81">
        <v>79</v>
      </c>
      <c r="D81">
        <v>0.79292929292929293</v>
      </c>
      <c r="E81">
        <v>0.81662736084860543</v>
      </c>
    </row>
    <row r="82" spans="2:5" x14ac:dyDescent="0.3">
      <c r="B82">
        <f>LNs!H7</f>
        <v>0.2824911227546994</v>
      </c>
      <c r="C82">
        <v>80</v>
      </c>
      <c r="D82">
        <v>0.80303030303030298</v>
      </c>
      <c r="E82">
        <v>0.85249503427469353</v>
      </c>
    </row>
    <row r="83" spans="2:5" x14ac:dyDescent="0.3">
      <c r="B83">
        <f>LNs!H102</f>
        <v>0.30849154564964626</v>
      </c>
      <c r="C83">
        <v>81</v>
      </c>
      <c r="D83">
        <v>0.81313131313131315</v>
      </c>
      <c r="E83">
        <v>0.88949450753063364</v>
      </c>
    </row>
    <row r="84" spans="2:5" x14ac:dyDescent="0.3">
      <c r="B84">
        <f>LNs!H64</f>
        <v>0.36893942675871438</v>
      </c>
      <c r="C84">
        <v>82</v>
      </c>
      <c r="D84">
        <v>0.8232323232323232</v>
      </c>
      <c r="E84">
        <v>0.92775368535742475</v>
      </c>
    </row>
    <row r="85" spans="2:5" x14ac:dyDescent="0.3">
      <c r="B85">
        <f>LNs!H17</f>
        <v>0.37385747511222134</v>
      </c>
      <c r="C85">
        <v>83</v>
      </c>
      <c r="D85">
        <v>0.83333333333333337</v>
      </c>
      <c r="E85">
        <v>0.96742156610170071</v>
      </c>
    </row>
    <row r="86" spans="2:5" x14ac:dyDescent="0.3">
      <c r="B86">
        <f>LNs!H23</f>
        <v>0.41364489557635137</v>
      </c>
      <c r="C86">
        <v>84</v>
      </c>
      <c r="D86">
        <v>0.84343434343434343</v>
      </c>
      <c r="E86">
        <v>1.0086733576467986</v>
      </c>
    </row>
    <row r="87" spans="2:5" x14ac:dyDescent="0.3">
      <c r="B87">
        <f>LNs!H79</f>
        <v>0.44479478968314595</v>
      </c>
      <c r="C87">
        <v>85</v>
      </c>
      <c r="D87">
        <v>0.85353535353535348</v>
      </c>
      <c r="E87">
        <v>1.0517172529984837</v>
      </c>
    </row>
    <row r="88" spans="2:5" x14ac:dyDescent="0.3">
      <c r="B88">
        <f>LNs!H11</f>
        <v>0.53012224070758074</v>
      </c>
      <c r="C88">
        <v>86</v>
      </c>
      <c r="D88">
        <v>0.86363636363636365</v>
      </c>
      <c r="E88">
        <v>1.096803562093513</v>
      </c>
    </row>
    <row r="89" spans="2:5" x14ac:dyDescent="0.3">
      <c r="B89">
        <f>LNs!H99</f>
        <v>0.55367244693640427</v>
      </c>
      <c r="C89">
        <v>87</v>
      </c>
      <c r="D89">
        <v>0.8737373737373737</v>
      </c>
      <c r="E89">
        <v>1.1442372651002066</v>
      </c>
    </row>
    <row r="90" spans="2:5" x14ac:dyDescent="0.3">
      <c r="B90">
        <f>LNs!H88</f>
        <v>0.58052704417285883</v>
      </c>
      <c r="C90">
        <v>88</v>
      </c>
      <c r="D90">
        <v>0.88383838383838387</v>
      </c>
      <c r="E90">
        <v>1.1943956635681565</v>
      </c>
    </row>
    <row r="91" spans="2:5" x14ac:dyDescent="0.3">
      <c r="B91">
        <f>LNs!H6</f>
        <v>0.60310211567989358</v>
      </c>
      <c r="C91">
        <v>89</v>
      </c>
      <c r="D91">
        <v>0.89393939393939392</v>
      </c>
      <c r="E91">
        <v>1.2477538553513243</v>
      </c>
    </row>
    <row r="92" spans="2:5" x14ac:dyDescent="0.3">
      <c r="B92">
        <f>LNs!H8</f>
        <v>0.61091708229097341</v>
      </c>
      <c r="C92">
        <v>90</v>
      </c>
      <c r="D92">
        <v>0.90404040404040409</v>
      </c>
      <c r="E92">
        <v>1.3049226377527239</v>
      </c>
    </row>
    <row r="93" spans="2:5" x14ac:dyDescent="0.3">
      <c r="B93">
        <f>LNs!H16</f>
        <v>0.61730771022807529</v>
      </c>
      <c r="C93">
        <v>91</v>
      </c>
      <c r="D93">
        <v>0.91414141414141414</v>
      </c>
      <c r="E93">
        <v>1.3667069718079636</v>
      </c>
    </row>
    <row r="94" spans="2:5" x14ac:dyDescent="0.3">
      <c r="B94">
        <f>LNs!H77</f>
        <v>0.64579348417647497</v>
      </c>
      <c r="C94">
        <v>92</v>
      </c>
      <c r="D94">
        <v>0.9242424242424242</v>
      </c>
      <c r="E94">
        <v>1.434200159686378</v>
      </c>
    </row>
    <row r="95" spans="2:5" x14ac:dyDescent="0.3">
      <c r="B95">
        <f>LNs!H86</f>
        <v>0.6464538165677608</v>
      </c>
      <c r="C95">
        <v>93</v>
      </c>
      <c r="D95">
        <v>0.93434343434343436</v>
      </c>
      <c r="E95">
        <v>1.5089438550380383</v>
      </c>
    </row>
    <row r="96" spans="2:5" x14ac:dyDescent="0.3">
      <c r="B96">
        <f>LNs!H14</f>
        <v>0.68845619507182176</v>
      </c>
      <c r="C96">
        <v>94</v>
      </c>
      <c r="D96">
        <v>0.94444444444444442</v>
      </c>
      <c r="E96">
        <v>1.59321881802305</v>
      </c>
    </row>
    <row r="97" spans="2:5" x14ac:dyDescent="0.3">
      <c r="B97">
        <f>LNs!H15</f>
        <v>0.6943614430447721</v>
      </c>
      <c r="C97">
        <v>95</v>
      </c>
      <c r="D97">
        <v>0.95454545454545459</v>
      </c>
      <c r="E97">
        <v>1.6906216295848984</v>
      </c>
    </row>
    <row r="98" spans="2:5" x14ac:dyDescent="0.3">
      <c r="B98">
        <f>LNs!H97</f>
        <v>0.76120761746485543</v>
      </c>
      <c r="C98">
        <v>96</v>
      </c>
      <c r="D98">
        <v>0.96464646464646464</v>
      </c>
      <c r="E98">
        <v>1.807354196799112</v>
      </c>
    </row>
    <row r="99" spans="2:5" x14ac:dyDescent="0.3">
      <c r="B99">
        <f>LNs!H9</f>
        <v>0.92868164643499396</v>
      </c>
      <c r="C99">
        <v>97</v>
      </c>
      <c r="D99">
        <v>0.9747474747474747</v>
      </c>
      <c r="E99">
        <v>1.9556614355881674</v>
      </c>
    </row>
    <row r="100" spans="2:5" x14ac:dyDescent="0.3">
      <c r="B100">
        <f>LNs!H85</f>
        <v>0.94118625070693085</v>
      </c>
      <c r="C100">
        <v>98</v>
      </c>
      <c r="D100">
        <v>0.98484848484848486</v>
      </c>
      <c r="E100">
        <v>2.166106752892329</v>
      </c>
    </row>
    <row r="101" spans="2:5" x14ac:dyDescent="0.3">
      <c r="B101">
        <f>LNs!H10</f>
        <v>1.1040706977447425</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A51D-0912-4543-AE48-67091B25F37B}">
  <dimension ref="B2:E101"/>
  <sheetViews>
    <sheetView workbookViewId="0">
      <selection activeCell="Q16" sqref="Q16"/>
    </sheetView>
  </sheetViews>
  <sheetFormatPr defaultRowHeight="14.4" x14ac:dyDescent="0.3"/>
  <cols>
    <col min="4" max="4" width="14.33203125" bestFit="1" customWidth="1"/>
    <col min="5" max="5" width="17.88671875" customWidth="1"/>
  </cols>
  <sheetData>
    <row r="2" spans="2:5" x14ac:dyDescent="0.3">
      <c r="B2" t="s">
        <v>14</v>
      </c>
      <c r="C2" t="s">
        <v>4</v>
      </c>
      <c r="D2" t="s">
        <v>5</v>
      </c>
      <c r="E2" t="s">
        <v>6</v>
      </c>
    </row>
    <row r="3" spans="2:5" x14ac:dyDescent="0.3">
      <c r="B3">
        <f>LNs!I41</f>
        <v>-1.1664040960071727</v>
      </c>
      <c r="C3">
        <v>1</v>
      </c>
      <c r="D3">
        <v>5.0505050505050509E-3</v>
      </c>
      <c r="E3">
        <v>-2.5723521109428895</v>
      </c>
    </row>
    <row r="4" spans="2:5" x14ac:dyDescent="0.3">
      <c r="B4">
        <f>LNs!I29</f>
        <v>-0.8626954640616572</v>
      </c>
      <c r="C4">
        <v>2</v>
      </c>
      <c r="D4">
        <v>1.5151515151515152E-2</v>
      </c>
      <c r="E4">
        <v>-2.1661067528923286</v>
      </c>
    </row>
    <row r="5" spans="2:5" x14ac:dyDescent="0.3">
      <c r="B5">
        <f>LNs!I40</f>
        <v>-0.80533315900519264</v>
      </c>
      <c r="C5">
        <v>3</v>
      </c>
      <c r="D5">
        <v>2.5252525252525252E-2</v>
      </c>
      <c r="E5">
        <v>-1.9556614355881679</v>
      </c>
    </row>
    <row r="6" spans="2:5" x14ac:dyDescent="0.3">
      <c r="B6">
        <f>LNs!I49</f>
        <v>-0.78305657091858871</v>
      </c>
      <c r="C6">
        <v>4</v>
      </c>
      <c r="D6">
        <v>3.5353535353535352E-2</v>
      </c>
      <c r="E6">
        <v>-1.807354196799112</v>
      </c>
    </row>
    <row r="7" spans="2:5" x14ac:dyDescent="0.3">
      <c r="B7">
        <f>LNs!I31</f>
        <v>-0.74470156165924428</v>
      </c>
      <c r="C7">
        <v>5</v>
      </c>
      <c r="D7">
        <v>4.5454545454545456E-2</v>
      </c>
      <c r="E7">
        <v>-1.6906216295848977</v>
      </c>
    </row>
    <row r="8" spans="2:5" x14ac:dyDescent="0.3">
      <c r="B8">
        <f>LNs!I38</f>
        <v>-0.73471111691765434</v>
      </c>
      <c r="C8">
        <v>6</v>
      </c>
      <c r="D8">
        <v>5.5555555555555552E-2</v>
      </c>
      <c r="E8">
        <v>-1.5932188180230502</v>
      </c>
    </row>
    <row r="9" spans="2:5" x14ac:dyDescent="0.3">
      <c r="B9">
        <f>LNs!I35</f>
        <v>-0.73273035939597608</v>
      </c>
      <c r="C9">
        <v>7</v>
      </c>
      <c r="D9">
        <v>6.5656565656565663E-2</v>
      </c>
      <c r="E9">
        <v>-1.5089438550380374</v>
      </c>
    </row>
    <row r="10" spans="2:5" x14ac:dyDescent="0.3">
      <c r="B10">
        <f>LNs!I42</f>
        <v>-0.72061087906485533</v>
      </c>
      <c r="C10">
        <v>8</v>
      </c>
      <c r="D10">
        <v>7.575757575757576E-2</v>
      </c>
      <c r="E10">
        <v>-1.4342001596863787</v>
      </c>
    </row>
    <row r="11" spans="2:5" x14ac:dyDescent="0.3">
      <c r="B11">
        <f>LNs!I54</f>
        <v>-0.69054656509366796</v>
      </c>
      <c r="C11">
        <v>9</v>
      </c>
      <c r="D11">
        <v>8.5858585858585856E-2</v>
      </c>
      <c r="E11">
        <v>-1.3667069718079636</v>
      </c>
    </row>
    <row r="12" spans="2:5" x14ac:dyDescent="0.3">
      <c r="B12">
        <f>LNs!I44</f>
        <v>-0.64899250559352473</v>
      </c>
      <c r="C12">
        <v>10</v>
      </c>
      <c r="D12">
        <v>9.5959595959595953E-2</v>
      </c>
      <c r="E12">
        <v>-1.304922637752725</v>
      </c>
    </row>
    <row r="13" spans="2:5" x14ac:dyDescent="0.3">
      <c r="B13">
        <f>LNs!I36</f>
        <v>-0.60758986019846006</v>
      </c>
      <c r="C13">
        <v>11</v>
      </c>
      <c r="D13">
        <v>0.10606060606060606</v>
      </c>
      <c r="E13">
        <v>-1.2477538553513243</v>
      </c>
    </row>
    <row r="14" spans="2:5" x14ac:dyDescent="0.3">
      <c r="B14">
        <f>LNs!I94</f>
        <v>-0.60625781101292087</v>
      </c>
      <c r="C14">
        <v>12</v>
      </c>
      <c r="D14">
        <v>0.11616161616161616</v>
      </c>
      <c r="E14">
        <v>-1.1943956635681565</v>
      </c>
    </row>
    <row r="15" spans="2:5" x14ac:dyDescent="0.3">
      <c r="B15">
        <f>LNs!I62</f>
        <v>-0.60064457466904708</v>
      </c>
      <c r="C15">
        <v>13</v>
      </c>
      <c r="D15">
        <v>0.12626262626262627</v>
      </c>
      <c r="E15">
        <v>-1.1442372651002066</v>
      </c>
    </row>
    <row r="16" spans="2:5" x14ac:dyDescent="0.3">
      <c r="B16">
        <f>LNs!I72</f>
        <v>-0.57712569552322279</v>
      </c>
      <c r="C16">
        <v>14</v>
      </c>
      <c r="D16">
        <v>0.13636363636363635</v>
      </c>
      <c r="E16">
        <v>-1.096803562093513</v>
      </c>
    </row>
    <row r="17" spans="2:5" x14ac:dyDescent="0.3">
      <c r="B17">
        <f>LNs!I33</f>
        <v>-0.56265765973996029</v>
      </c>
      <c r="C17">
        <v>15</v>
      </c>
      <c r="D17">
        <v>0.14646464646464646</v>
      </c>
      <c r="E17">
        <v>-1.0517172529984806</v>
      </c>
    </row>
    <row r="18" spans="2:5" x14ac:dyDescent="0.3">
      <c r="B18">
        <f>LNs!I4</f>
        <v>-0.56057624903054715</v>
      </c>
      <c r="C18">
        <v>16</v>
      </c>
      <c r="D18">
        <v>0.15656565656565657</v>
      </c>
      <c r="E18">
        <v>-1.0086733576467986</v>
      </c>
    </row>
    <row r="19" spans="2:5" x14ac:dyDescent="0.3">
      <c r="B19">
        <f>LNs!I30</f>
        <v>-0.55393669455673156</v>
      </c>
      <c r="C19">
        <v>17</v>
      </c>
      <c r="D19">
        <v>0.16666666666666666</v>
      </c>
      <c r="E19">
        <v>-0.96742156610170071</v>
      </c>
    </row>
    <row r="20" spans="2:5" x14ac:dyDescent="0.3">
      <c r="B20">
        <f>LNs!I45</f>
        <v>-0.52982497377577353</v>
      </c>
      <c r="C20">
        <v>18</v>
      </c>
      <c r="D20">
        <v>0.17676767676767677</v>
      </c>
      <c r="E20">
        <v>-0.92775368535742475</v>
      </c>
    </row>
    <row r="21" spans="2:5" x14ac:dyDescent="0.3">
      <c r="B21">
        <f>LNs!I21</f>
        <v>-0.52312427643642201</v>
      </c>
      <c r="C21">
        <v>19</v>
      </c>
      <c r="D21">
        <v>0.18686868686868688</v>
      </c>
      <c r="E21">
        <v>-0.88949450753063364</v>
      </c>
    </row>
    <row r="22" spans="2:5" x14ac:dyDescent="0.3">
      <c r="B22">
        <f>LNs!I70</f>
        <v>-0.51550656228453129</v>
      </c>
      <c r="C22">
        <v>20</v>
      </c>
      <c r="D22">
        <v>0.19696969696969696</v>
      </c>
      <c r="E22">
        <v>-0.85249503427469364</v>
      </c>
    </row>
    <row r="23" spans="2:5" x14ac:dyDescent="0.3">
      <c r="B23">
        <f>LNs!I37</f>
        <v>-0.51314330752121962</v>
      </c>
      <c r="C23">
        <v>21</v>
      </c>
      <c r="D23">
        <v>0.20707070707070707</v>
      </c>
      <c r="E23">
        <v>-0.81662736084860543</v>
      </c>
    </row>
    <row r="24" spans="2:5" x14ac:dyDescent="0.3">
      <c r="B24">
        <f>LNs!I28</f>
        <v>-0.49586312237647606</v>
      </c>
      <c r="C24">
        <v>22</v>
      </c>
      <c r="D24">
        <v>0.21717171717171718</v>
      </c>
      <c r="E24">
        <v>-0.78178075276507197</v>
      </c>
    </row>
    <row r="25" spans="2:5" x14ac:dyDescent="0.3">
      <c r="B25">
        <f>LNs!I69</f>
        <v>-0.49463080397721043</v>
      </c>
      <c r="C25">
        <v>23</v>
      </c>
      <c r="D25">
        <v>0.22727272727272727</v>
      </c>
      <c r="E25">
        <v>-0.74785859476330196</v>
      </c>
    </row>
    <row r="26" spans="2:5" x14ac:dyDescent="0.3">
      <c r="B26">
        <f>LNs!I26</f>
        <v>-0.47835682020610565</v>
      </c>
      <c r="C26">
        <v>24</v>
      </c>
      <c r="D26">
        <v>0.23737373737373738</v>
      </c>
      <c r="E26">
        <v>-0.71477598810315091</v>
      </c>
    </row>
    <row r="27" spans="2:5" x14ac:dyDescent="0.3">
      <c r="B27">
        <f>LNs!I71</f>
        <v>-0.4555580705508504</v>
      </c>
      <c r="C27">
        <v>25</v>
      </c>
      <c r="D27">
        <v>0.24747474747474749</v>
      </c>
      <c r="E27">
        <v>-0.68245783666933024</v>
      </c>
    </row>
    <row r="28" spans="2:5" x14ac:dyDescent="0.3">
      <c r="B28">
        <f>LNs!I53</f>
        <v>-0.45128865205006891</v>
      </c>
      <c r="C28">
        <v>26</v>
      </c>
      <c r="D28">
        <v>0.25757575757575757</v>
      </c>
      <c r="E28">
        <v>-0.65083730644447746</v>
      </c>
    </row>
    <row r="29" spans="2:5" x14ac:dyDescent="0.3">
      <c r="B29">
        <f>LNs!I19</f>
        <v>-0.44154368295249197</v>
      </c>
      <c r="C29">
        <v>27</v>
      </c>
      <c r="D29">
        <v>0.26767676767676768</v>
      </c>
      <c r="E29">
        <v>-0.61985457356549389</v>
      </c>
    </row>
    <row r="30" spans="2:5" x14ac:dyDescent="0.3">
      <c r="B30">
        <f>LNs!I46</f>
        <v>-0.4119913578237262</v>
      </c>
      <c r="C30">
        <v>28</v>
      </c>
      <c r="D30">
        <v>0.27777777777777779</v>
      </c>
      <c r="E30">
        <v>-0.58945579784977842</v>
      </c>
    </row>
    <row r="31" spans="2:5" x14ac:dyDescent="0.3">
      <c r="B31">
        <f>LNs!I66</f>
        <v>-0.40143623492802549</v>
      </c>
      <c r="C31">
        <v>29</v>
      </c>
      <c r="D31">
        <v>0.2878787878787879</v>
      </c>
      <c r="E31">
        <v>-0.5595922742274323</v>
      </c>
    </row>
    <row r="32" spans="2:5" x14ac:dyDescent="0.3">
      <c r="B32">
        <f>LNs!I48</f>
        <v>-0.39336412127733789</v>
      </c>
      <c r="C32">
        <v>30</v>
      </c>
      <c r="D32">
        <v>0.29797979797979796</v>
      </c>
      <c r="E32">
        <v>-0.53021972582422794</v>
      </c>
    </row>
    <row r="33" spans="2:5" x14ac:dyDescent="0.3">
      <c r="B33">
        <f>LNs!I56</f>
        <v>-0.32611525578808936</v>
      </c>
      <c r="C33">
        <v>31</v>
      </c>
      <c r="D33">
        <v>0.30808080808080807</v>
      </c>
      <c r="E33">
        <v>-0.50129771076772867</v>
      </c>
    </row>
    <row r="34" spans="2:5" x14ac:dyDescent="0.3">
      <c r="B34">
        <f>LNs!I73</f>
        <v>-0.31457239824564803</v>
      </c>
      <c r="C34">
        <v>32</v>
      </c>
      <c r="D34">
        <v>0.31818181818181818</v>
      </c>
      <c r="E34">
        <v>-0.47278912099226744</v>
      </c>
    </row>
    <row r="35" spans="2:5" x14ac:dyDescent="0.3">
      <c r="B35">
        <f>LNs!I82</f>
        <v>-0.31434505828652137</v>
      </c>
      <c r="C35">
        <v>33</v>
      </c>
      <c r="D35">
        <v>0.32828282828282829</v>
      </c>
      <c r="E35">
        <v>-0.4446597559886718</v>
      </c>
    </row>
    <row r="36" spans="2:5" x14ac:dyDescent="0.3">
      <c r="B36">
        <f>LNs!I58</f>
        <v>-0.28295459792272393</v>
      </c>
      <c r="C36">
        <v>34</v>
      </c>
      <c r="D36">
        <v>0.3383838383838384</v>
      </c>
      <c r="E36">
        <v>-0.41687795799540722</v>
      </c>
    </row>
    <row r="37" spans="2:5" x14ac:dyDescent="0.3">
      <c r="B37">
        <f>LNs!I32</f>
        <v>-0.28222233730074608</v>
      </c>
      <c r="C37">
        <v>35</v>
      </c>
      <c r="D37">
        <v>0.34848484848484851</v>
      </c>
      <c r="E37">
        <v>-0.38941429785214438</v>
      </c>
    </row>
    <row r="38" spans="2:5" x14ac:dyDescent="0.3">
      <c r="B38">
        <f>LNs!I55</f>
        <v>-0.27660762118353416</v>
      </c>
      <c r="C38">
        <v>36</v>
      </c>
      <c r="D38">
        <v>0.35858585858585856</v>
      </c>
      <c r="E38">
        <v>-0.3622413028447366</v>
      </c>
    </row>
    <row r="39" spans="2:5" x14ac:dyDescent="0.3">
      <c r="B39">
        <f>LNs!I61</f>
        <v>-0.27153841862374123</v>
      </c>
      <c r="C39">
        <v>37</v>
      </c>
      <c r="D39">
        <v>0.36868686868686867</v>
      </c>
      <c r="E39">
        <v>-0.33533321951439826</v>
      </c>
    </row>
    <row r="40" spans="2:5" x14ac:dyDescent="0.3">
      <c r="B40">
        <f>LNs!I60</f>
        <v>-0.27106359414903053</v>
      </c>
      <c r="C40">
        <v>38</v>
      </c>
      <c r="D40">
        <v>0.37878787878787878</v>
      </c>
      <c r="E40">
        <v>-0.30866580569493407</v>
      </c>
    </row>
    <row r="41" spans="2:5" x14ac:dyDescent="0.3">
      <c r="B41">
        <f>LNs!I34</f>
        <v>-0.27006221782837775</v>
      </c>
      <c r="C41">
        <v>39</v>
      </c>
      <c r="D41">
        <v>0.3888888888888889</v>
      </c>
      <c r="E41">
        <v>-0.28221614706250814</v>
      </c>
    </row>
    <row r="42" spans="2:5" x14ac:dyDescent="0.3">
      <c r="B42">
        <f>LNs!I83</f>
        <v>-0.25563575176446651</v>
      </c>
      <c r="C42">
        <v>40</v>
      </c>
      <c r="D42">
        <v>0.39898989898989901</v>
      </c>
      <c r="E42">
        <v>-0.25596249429406465</v>
      </c>
    </row>
    <row r="43" spans="2:5" x14ac:dyDescent="0.3">
      <c r="B43">
        <f>LNs!I43</f>
        <v>-0.23882841823439266</v>
      </c>
      <c r="C43">
        <v>41</v>
      </c>
      <c r="D43">
        <v>0.40909090909090912</v>
      </c>
      <c r="E43">
        <v>-0.22988411757923208</v>
      </c>
    </row>
    <row r="44" spans="2:5" x14ac:dyDescent="0.3">
      <c r="B44">
        <f>LNs!I63</f>
        <v>-0.23299946162513752</v>
      </c>
      <c r="C44">
        <v>42</v>
      </c>
      <c r="D44">
        <v>0.41919191919191917</v>
      </c>
      <c r="E44">
        <v>-0.20396117575131437</v>
      </c>
    </row>
    <row r="45" spans="2:5" x14ac:dyDescent="0.3">
      <c r="B45">
        <f>LNs!I91</f>
        <v>-0.2193681869792265</v>
      </c>
      <c r="C45">
        <v>43</v>
      </c>
      <c r="D45">
        <v>0.42929292929292928</v>
      </c>
      <c r="E45">
        <v>-0.17817459772241043</v>
      </c>
    </row>
    <row r="46" spans="2:5" x14ac:dyDescent="0.3">
      <c r="B46">
        <f>LNs!I90</f>
        <v>-0.20802466976791001</v>
      </c>
      <c r="C46">
        <v>44</v>
      </c>
      <c r="D46">
        <v>0.43939393939393939</v>
      </c>
      <c r="E46">
        <v>-0.15250597424624437</v>
      </c>
    </row>
    <row r="47" spans="2:5" x14ac:dyDescent="0.3">
      <c r="B47">
        <f>LNs!I68</f>
        <v>-0.20111912932692227</v>
      </c>
      <c r="C47">
        <v>45</v>
      </c>
      <c r="D47">
        <v>0.4494949494949495</v>
      </c>
      <c r="E47">
        <v>-0.12693745830564304</v>
      </c>
    </row>
    <row r="48" spans="2:5" x14ac:dyDescent="0.3">
      <c r="B48">
        <f>LNs!I27</f>
        <v>-0.19943068681297432</v>
      </c>
      <c r="C48">
        <v>46</v>
      </c>
      <c r="D48">
        <v>0.45959595959595961</v>
      </c>
      <c r="E48">
        <v>-0.1014516726419474</v>
      </c>
    </row>
    <row r="49" spans="2:5" x14ac:dyDescent="0.3">
      <c r="B49">
        <f>LNs!I65</f>
        <v>-0.1952280889074797</v>
      </c>
      <c r="C49">
        <v>47</v>
      </c>
      <c r="D49">
        <v>0.46969696969696972</v>
      </c>
      <c r="E49">
        <v>-7.60316231203884E-2</v>
      </c>
    </row>
    <row r="50" spans="2:5" x14ac:dyDescent="0.3">
      <c r="B50">
        <f>LNs!I22</f>
        <v>-0.18531322738111972</v>
      </c>
      <c r="C50">
        <v>48</v>
      </c>
      <c r="D50">
        <v>0.47979797979797978</v>
      </c>
      <c r="E50">
        <v>-5.0660616765876576E-2</v>
      </c>
    </row>
    <row r="51" spans="2:5" x14ac:dyDescent="0.3">
      <c r="B51">
        <f>LNs!I20</f>
        <v>-0.18422937552332089</v>
      </c>
      <c r="C51">
        <v>49</v>
      </c>
      <c r="D51">
        <v>0.48989898989898989</v>
      </c>
      <c r="E51">
        <v>-2.5322183413346296E-2</v>
      </c>
    </row>
    <row r="52" spans="2:5" x14ac:dyDescent="0.3">
      <c r="B52">
        <f>LNs!I81</f>
        <v>-0.18280567395976172</v>
      </c>
      <c r="C52">
        <v>50</v>
      </c>
      <c r="D52">
        <v>0.5</v>
      </c>
      <c r="E52">
        <v>0</v>
      </c>
    </row>
    <row r="53" spans="2:5" x14ac:dyDescent="0.3">
      <c r="B53">
        <f>LNs!I24</f>
        <v>-0.18074519989759288</v>
      </c>
      <c r="C53">
        <v>51</v>
      </c>
      <c r="D53">
        <v>0.51010101010101006</v>
      </c>
      <c r="E53">
        <v>2.5322183413346164E-2</v>
      </c>
    </row>
    <row r="54" spans="2:5" x14ac:dyDescent="0.3">
      <c r="B54">
        <f>LNs!I25</f>
        <v>-0.16173218024261965</v>
      </c>
      <c r="C54">
        <v>52</v>
      </c>
      <c r="D54">
        <v>0.52020202020202022</v>
      </c>
      <c r="E54">
        <v>5.0660616765876576E-2</v>
      </c>
    </row>
    <row r="55" spans="2:5" x14ac:dyDescent="0.3">
      <c r="B55">
        <f>LNs!I96</f>
        <v>-0.15915752652464127</v>
      </c>
      <c r="C55">
        <v>53</v>
      </c>
      <c r="D55">
        <v>0.53030303030303028</v>
      </c>
      <c r="E55">
        <v>7.60316231203884E-2</v>
      </c>
    </row>
    <row r="56" spans="2:5" x14ac:dyDescent="0.3">
      <c r="B56">
        <f>LNs!I74</f>
        <v>-0.1437606766672285</v>
      </c>
      <c r="C56">
        <v>54</v>
      </c>
      <c r="D56">
        <v>0.54040404040404044</v>
      </c>
      <c r="E56">
        <v>0.10145167264194754</v>
      </c>
    </row>
    <row r="57" spans="2:5" x14ac:dyDescent="0.3">
      <c r="B57">
        <f>LNs!I18</f>
        <v>-0.1183928465532592</v>
      </c>
      <c r="C57">
        <v>55</v>
      </c>
      <c r="D57">
        <v>0.5505050505050505</v>
      </c>
      <c r="E57">
        <v>0.12693745830564304</v>
      </c>
    </row>
    <row r="58" spans="2:5" x14ac:dyDescent="0.3">
      <c r="B58">
        <f>LNs!I101</f>
        <v>-0.11734987948206568</v>
      </c>
      <c r="C58">
        <v>56</v>
      </c>
      <c r="D58">
        <v>0.56060606060606055</v>
      </c>
      <c r="E58">
        <v>0.15250597424624424</v>
      </c>
    </row>
    <row r="59" spans="2:5" x14ac:dyDescent="0.3">
      <c r="B59">
        <f>LNs!I52</f>
        <v>-9.117822808646546E-2</v>
      </c>
      <c r="C59">
        <v>57</v>
      </c>
      <c r="D59">
        <v>0.57070707070707072</v>
      </c>
      <c r="E59">
        <v>0.17817459772241043</v>
      </c>
    </row>
    <row r="60" spans="2:5" x14ac:dyDescent="0.3">
      <c r="B60">
        <f>LNs!I67</f>
        <v>-7.5842706705254781E-2</v>
      </c>
      <c r="C60">
        <v>58</v>
      </c>
      <c r="D60">
        <v>0.58080808080808077</v>
      </c>
      <c r="E60">
        <v>0.2039611757513142</v>
      </c>
    </row>
    <row r="61" spans="2:5" x14ac:dyDescent="0.3">
      <c r="B61">
        <f>LNs!I13</f>
        <v>-7.2367487675950609E-2</v>
      </c>
      <c r="C61">
        <v>59</v>
      </c>
      <c r="D61">
        <v>0.59090909090909094</v>
      </c>
      <c r="E61">
        <v>0.22988411757923222</v>
      </c>
    </row>
    <row r="62" spans="2:5" x14ac:dyDescent="0.3">
      <c r="B62">
        <f>LNs!I5</f>
        <v>-7.0034127691799244E-2</v>
      </c>
      <c r="C62">
        <v>60</v>
      </c>
      <c r="D62">
        <v>0.60101010101010099</v>
      </c>
      <c r="E62">
        <v>0.25596249429406465</v>
      </c>
    </row>
    <row r="63" spans="2:5" x14ac:dyDescent="0.3">
      <c r="B63">
        <f>LNs!I89</f>
        <v>-4.5600057973354625E-2</v>
      </c>
      <c r="C63">
        <v>61</v>
      </c>
      <c r="D63">
        <v>0.61111111111111116</v>
      </c>
      <c r="E63">
        <v>0.28221614706250825</v>
      </c>
    </row>
    <row r="64" spans="2:5" x14ac:dyDescent="0.3">
      <c r="B64">
        <f>LNs!I57</f>
        <v>-3.1338975810697209E-2</v>
      </c>
      <c r="C64">
        <v>62</v>
      </c>
      <c r="D64">
        <v>0.62121212121212122</v>
      </c>
      <c r="E64">
        <v>0.30866580569493407</v>
      </c>
    </row>
    <row r="65" spans="2:5" x14ac:dyDescent="0.3">
      <c r="B65">
        <f>LNs!I47</f>
        <v>-2.0484379636503923E-2</v>
      </c>
      <c r="C65">
        <v>63</v>
      </c>
      <c r="D65">
        <v>0.63131313131313127</v>
      </c>
      <c r="E65">
        <v>0.3353332195143981</v>
      </c>
    </row>
    <row r="66" spans="2:5" x14ac:dyDescent="0.3">
      <c r="B66">
        <f>LNs!I92</f>
        <v>-8.5736743444254069E-4</v>
      </c>
      <c r="C66">
        <v>64</v>
      </c>
      <c r="D66">
        <v>0.64141414141414144</v>
      </c>
      <c r="E66">
        <v>0.3622413028447366</v>
      </c>
    </row>
    <row r="67" spans="2:5" x14ac:dyDescent="0.3">
      <c r="B67">
        <f>LNs!I59</f>
        <v>6.298016333095459E-4</v>
      </c>
      <c r="C67">
        <v>65</v>
      </c>
      <c r="D67">
        <v>0.65151515151515149</v>
      </c>
      <c r="E67">
        <v>0.38941429785214438</v>
      </c>
    </row>
    <row r="68" spans="2:5" x14ac:dyDescent="0.3">
      <c r="B68">
        <f>LNs!I76</f>
        <v>5.1467328195298851E-3</v>
      </c>
      <c r="C68">
        <v>66</v>
      </c>
      <c r="D68">
        <v>0.66161616161616166</v>
      </c>
      <c r="E68">
        <v>0.41687795799540739</v>
      </c>
    </row>
    <row r="69" spans="2:5" x14ac:dyDescent="0.3">
      <c r="B69">
        <f>LNs!I84</f>
        <v>6.8663724172773949E-3</v>
      </c>
      <c r="C69">
        <v>67</v>
      </c>
      <c r="D69">
        <v>0.67171717171717171</v>
      </c>
      <c r="E69">
        <v>0.4446597559886718</v>
      </c>
    </row>
    <row r="70" spans="2:5" x14ac:dyDescent="0.3">
      <c r="B70">
        <f>LNs!I98</f>
        <v>6.8663724172773949E-3</v>
      </c>
      <c r="C70">
        <v>68</v>
      </c>
      <c r="D70">
        <v>0.68181818181818177</v>
      </c>
      <c r="E70">
        <v>0.47278912099226728</v>
      </c>
    </row>
    <row r="71" spans="2:5" x14ac:dyDescent="0.3">
      <c r="B71">
        <f>LNs!I93</f>
        <v>1.3695783128986515E-2</v>
      </c>
      <c r="C71">
        <v>69</v>
      </c>
      <c r="D71">
        <v>0.69191919191919193</v>
      </c>
      <c r="E71">
        <v>0.50129771076772867</v>
      </c>
    </row>
    <row r="72" spans="2:5" x14ac:dyDescent="0.3">
      <c r="B72">
        <f>LNs!I50</f>
        <v>3.103344258017296E-2</v>
      </c>
      <c r="C72">
        <v>70</v>
      </c>
      <c r="D72">
        <v>0.70202020202020199</v>
      </c>
      <c r="E72">
        <v>0.53021972582422772</v>
      </c>
    </row>
    <row r="73" spans="2:5" x14ac:dyDescent="0.3">
      <c r="B73">
        <f>LNs!I39</f>
        <v>4.4523933879465835E-2</v>
      </c>
      <c r="C73">
        <v>71</v>
      </c>
      <c r="D73">
        <v>0.71212121212121215</v>
      </c>
      <c r="E73">
        <v>0.55959227422743252</v>
      </c>
    </row>
    <row r="74" spans="2:5" x14ac:dyDescent="0.3">
      <c r="B74">
        <f>LNs!I12</f>
        <v>5.3085687091589298E-2</v>
      </c>
      <c r="C74">
        <v>72</v>
      </c>
      <c r="D74">
        <v>0.72222222222222221</v>
      </c>
      <c r="E74">
        <v>0.58945579784977842</v>
      </c>
    </row>
    <row r="75" spans="2:5" x14ac:dyDescent="0.3">
      <c r="B75">
        <f>LNs!I95</f>
        <v>6.5075876736187657E-2</v>
      </c>
      <c r="C75">
        <v>73</v>
      </c>
      <c r="D75">
        <v>0.73232323232323238</v>
      </c>
      <c r="E75">
        <v>0.61985457356549423</v>
      </c>
    </row>
    <row r="76" spans="2:5" x14ac:dyDescent="0.3">
      <c r="B76">
        <f>LNs!I100</f>
        <v>6.5178941024971376E-2</v>
      </c>
      <c r="C76">
        <v>74</v>
      </c>
      <c r="D76">
        <v>0.74242424242424243</v>
      </c>
      <c r="E76">
        <v>0.65083730644447746</v>
      </c>
    </row>
    <row r="77" spans="2:5" x14ac:dyDescent="0.3">
      <c r="B77">
        <f>LNs!I80</f>
        <v>0.10074990310014315</v>
      </c>
      <c r="C77">
        <v>75</v>
      </c>
      <c r="D77">
        <v>0.75252525252525249</v>
      </c>
      <c r="E77">
        <v>0.68245783666933024</v>
      </c>
    </row>
    <row r="78" spans="2:5" x14ac:dyDescent="0.3">
      <c r="B78">
        <f>LNs!I75</f>
        <v>0.18533368245191328</v>
      </c>
      <c r="C78">
        <v>76</v>
      </c>
      <c r="D78">
        <v>0.76262626262626265</v>
      </c>
      <c r="E78">
        <v>0.71477598810315091</v>
      </c>
    </row>
    <row r="79" spans="2:5" x14ac:dyDescent="0.3">
      <c r="B79">
        <f>LNs!I51</f>
        <v>0.18702713484227287</v>
      </c>
      <c r="C79">
        <v>77</v>
      </c>
      <c r="D79">
        <v>0.77272727272727271</v>
      </c>
      <c r="E79">
        <v>0.74785859476330196</v>
      </c>
    </row>
    <row r="80" spans="2:5" x14ac:dyDescent="0.3">
      <c r="B80">
        <f>LNs!I17</f>
        <v>0.22617096407221585</v>
      </c>
      <c r="C80">
        <v>78</v>
      </c>
      <c r="D80">
        <v>0.78282828282828287</v>
      </c>
      <c r="E80">
        <v>0.78178075276507275</v>
      </c>
    </row>
    <row r="81" spans="2:5" x14ac:dyDescent="0.3">
      <c r="B81">
        <f>LNs!I7</f>
        <v>0.23134185321108813</v>
      </c>
      <c r="C81">
        <v>79</v>
      </c>
      <c r="D81">
        <v>0.79292929292929293</v>
      </c>
      <c r="E81">
        <v>0.81662736084860543</v>
      </c>
    </row>
    <row r="82" spans="2:5" x14ac:dyDescent="0.3">
      <c r="B82">
        <f>LNs!I102</f>
        <v>0.24132918570721984</v>
      </c>
      <c r="C82">
        <v>80</v>
      </c>
      <c r="D82">
        <v>0.80303030303030298</v>
      </c>
      <c r="E82">
        <v>0.85249503427469353</v>
      </c>
    </row>
    <row r="83" spans="2:5" x14ac:dyDescent="0.3">
      <c r="B83">
        <f>LNs!I87</f>
        <v>0.27205561281576479</v>
      </c>
      <c r="C83">
        <v>81</v>
      </c>
      <c r="D83">
        <v>0.81313131313131315</v>
      </c>
      <c r="E83">
        <v>0.88949450753063364</v>
      </c>
    </row>
    <row r="84" spans="2:5" x14ac:dyDescent="0.3">
      <c r="B84">
        <f>LNs!I23</f>
        <v>0.32732337022387364</v>
      </c>
      <c r="C84">
        <v>82</v>
      </c>
      <c r="D84">
        <v>0.8232323232323232</v>
      </c>
      <c r="E84">
        <v>0.92775368535742475</v>
      </c>
    </row>
    <row r="85" spans="2:5" x14ac:dyDescent="0.3">
      <c r="B85">
        <f>LNs!I78</f>
        <v>0.35654093495993028</v>
      </c>
      <c r="C85">
        <v>83</v>
      </c>
      <c r="D85">
        <v>0.83333333333333337</v>
      </c>
      <c r="E85">
        <v>0.96742156610170071</v>
      </c>
    </row>
    <row r="86" spans="2:5" x14ac:dyDescent="0.3">
      <c r="B86">
        <f>LNs!I64</f>
        <v>0.36610038458588762</v>
      </c>
      <c r="C86">
        <v>84</v>
      </c>
      <c r="D86">
        <v>0.84343434343434343</v>
      </c>
      <c r="E86">
        <v>1.0086733576467986</v>
      </c>
    </row>
    <row r="87" spans="2:5" x14ac:dyDescent="0.3">
      <c r="B87">
        <f>LNs!I16</f>
        <v>0.40905200084347465</v>
      </c>
      <c r="C87">
        <v>85</v>
      </c>
      <c r="D87">
        <v>0.85353535353535348</v>
      </c>
      <c r="E87">
        <v>1.0517172529984837</v>
      </c>
    </row>
    <row r="88" spans="2:5" x14ac:dyDescent="0.3">
      <c r="B88">
        <f>LNs!I11</f>
        <v>0.46294754352152684</v>
      </c>
      <c r="C88">
        <v>86</v>
      </c>
      <c r="D88">
        <v>0.86363636363636365</v>
      </c>
      <c r="E88">
        <v>1.096803562093513</v>
      </c>
    </row>
    <row r="89" spans="2:5" x14ac:dyDescent="0.3">
      <c r="B89">
        <f>LNs!I79</f>
        <v>0.48896644321308536</v>
      </c>
      <c r="C89">
        <v>87</v>
      </c>
      <c r="D89">
        <v>0.8737373737373737</v>
      </c>
      <c r="E89">
        <v>1.1442372651002066</v>
      </c>
    </row>
    <row r="90" spans="2:5" x14ac:dyDescent="0.3">
      <c r="B90">
        <f>LNs!I99</f>
        <v>0.50505098257325265</v>
      </c>
      <c r="C90">
        <v>88</v>
      </c>
      <c r="D90">
        <v>0.88383838383838387</v>
      </c>
      <c r="E90">
        <v>1.1943956635681565</v>
      </c>
    </row>
    <row r="91" spans="2:5" x14ac:dyDescent="0.3">
      <c r="B91">
        <f>LNs!I88</f>
        <v>0.52466935558664085</v>
      </c>
      <c r="C91">
        <v>89</v>
      </c>
      <c r="D91">
        <v>0.89393939393939392</v>
      </c>
      <c r="E91">
        <v>1.2477538553513243</v>
      </c>
    </row>
    <row r="92" spans="2:5" x14ac:dyDescent="0.3">
      <c r="B92">
        <f>LNs!I15</f>
        <v>0.5473234023261615</v>
      </c>
      <c r="C92">
        <v>90</v>
      </c>
      <c r="D92">
        <v>0.90404040404040409</v>
      </c>
      <c r="E92">
        <v>1.3049226377527239</v>
      </c>
    </row>
    <row r="93" spans="2:5" x14ac:dyDescent="0.3">
      <c r="B93">
        <f>LNs!I14</f>
        <v>0.5801856278515215</v>
      </c>
      <c r="C93">
        <v>91</v>
      </c>
      <c r="D93">
        <v>0.91414141414141414</v>
      </c>
      <c r="E93">
        <v>1.3667069718079636</v>
      </c>
    </row>
    <row r="94" spans="2:5" x14ac:dyDescent="0.3">
      <c r="B94">
        <f>LNs!I6</f>
        <v>0.63292466538779668</v>
      </c>
      <c r="C94">
        <v>92</v>
      </c>
      <c r="D94">
        <v>0.9242424242424242</v>
      </c>
      <c r="E94">
        <v>1.434200159686378</v>
      </c>
    </row>
    <row r="95" spans="2:5" x14ac:dyDescent="0.3">
      <c r="B95">
        <f>LNs!I77</f>
        <v>0.6447759286345256</v>
      </c>
      <c r="C95">
        <v>93</v>
      </c>
      <c r="D95">
        <v>0.93434343434343436</v>
      </c>
      <c r="E95">
        <v>1.5089438550380383</v>
      </c>
    </row>
    <row r="96" spans="2:5" x14ac:dyDescent="0.3">
      <c r="B96">
        <f>LNs!I86</f>
        <v>0.64667906833995159</v>
      </c>
      <c r="C96">
        <v>94</v>
      </c>
      <c r="D96">
        <v>0.94444444444444442</v>
      </c>
      <c r="E96">
        <v>1.59321881802305</v>
      </c>
    </row>
    <row r="97" spans="2:5" x14ac:dyDescent="0.3">
      <c r="B97">
        <f>LNs!I8</f>
        <v>0.66812676424780404</v>
      </c>
      <c r="C97">
        <v>95</v>
      </c>
      <c r="D97">
        <v>0.95454545454545459</v>
      </c>
      <c r="E97">
        <v>1.6906216295848984</v>
      </c>
    </row>
    <row r="98" spans="2:5" x14ac:dyDescent="0.3">
      <c r="B98">
        <f>LNs!I97</f>
        <v>0.69966092002225411</v>
      </c>
      <c r="C98">
        <v>96</v>
      </c>
      <c r="D98">
        <v>0.96464646464646464</v>
      </c>
      <c r="E98">
        <v>1.807354196799112</v>
      </c>
    </row>
    <row r="99" spans="2:5" x14ac:dyDescent="0.3">
      <c r="B99">
        <f>LNs!I85</f>
        <v>0.97395945992609845</v>
      </c>
      <c r="C99">
        <v>97</v>
      </c>
      <c r="D99">
        <v>0.9747474747474747</v>
      </c>
      <c r="E99">
        <v>1.9556614355881674</v>
      </c>
    </row>
    <row r="100" spans="2:5" x14ac:dyDescent="0.3">
      <c r="B100">
        <f>LNs!I9</f>
        <v>1.0380409987628365</v>
      </c>
      <c r="C100">
        <v>98</v>
      </c>
      <c r="D100">
        <v>0.98484848484848486</v>
      </c>
      <c r="E100">
        <v>2.166106752892329</v>
      </c>
    </row>
    <row r="101" spans="2:5" x14ac:dyDescent="0.3">
      <c r="B101">
        <f>LNs!I10</f>
        <v>1.0816221027484196</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7959-71D8-43BF-8604-5625172BCABE}">
  <dimension ref="B2:E101"/>
  <sheetViews>
    <sheetView workbookViewId="0">
      <selection activeCell="Q17" sqref="Q17"/>
    </sheetView>
  </sheetViews>
  <sheetFormatPr defaultRowHeight="14.4" x14ac:dyDescent="0.3"/>
  <cols>
    <col min="4" max="4" width="14.33203125" bestFit="1" customWidth="1"/>
    <col min="5" max="5" width="17.88671875" customWidth="1"/>
  </cols>
  <sheetData>
    <row r="2" spans="2:5" x14ac:dyDescent="0.3">
      <c r="B2" t="s">
        <v>15</v>
      </c>
      <c r="C2" t="s">
        <v>4</v>
      </c>
      <c r="D2" t="s">
        <v>5</v>
      </c>
      <c r="E2" t="s">
        <v>6</v>
      </c>
    </row>
    <row r="3" spans="2:5" x14ac:dyDescent="0.3">
      <c r="B3">
        <f>LNs!J41</f>
        <v>-1.1557669378092625</v>
      </c>
      <c r="C3">
        <v>1</v>
      </c>
      <c r="D3">
        <v>5.0505050505050509E-3</v>
      </c>
      <c r="E3">
        <v>-2.5723521109428895</v>
      </c>
    </row>
    <row r="4" spans="2:5" x14ac:dyDescent="0.3">
      <c r="B4">
        <f>LNs!J29</f>
        <v>-0.99062103643420241</v>
      </c>
      <c r="C4">
        <v>2</v>
      </c>
      <c r="D4">
        <v>1.5151515151515152E-2</v>
      </c>
      <c r="E4">
        <v>-2.1661067528923286</v>
      </c>
    </row>
    <row r="5" spans="2:5" x14ac:dyDescent="0.3">
      <c r="B5">
        <f>LNs!J42</f>
        <v>-0.84719386579482869</v>
      </c>
      <c r="C5">
        <v>3</v>
      </c>
      <c r="D5">
        <v>2.5252525252525252E-2</v>
      </c>
      <c r="E5">
        <v>-1.9556614355881679</v>
      </c>
    </row>
    <row r="6" spans="2:5" x14ac:dyDescent="0.3">
      <c r="B6">
        <f>LNs!J38</f>
        <v>-0.8053711962391743</v>
      </c>
      <c r="C6">
        <v>4</v>
      </c>
      <c r="D6">
        <v>3.5353535353535352E-2</v>
      </c>
      <c r="E6">
        <v>-1.807354196799112</v>
      </c>
    </row>
    <row r="7" spans="2:5" x14ac:dyDescent="0.3">
      <c r="B7">
        <f>LNs!J31</f>
        <v>-0.78758094452884952</v>
      </c>
      <c r="C7">
        <v>5</v>
      </c>
      <c r="D7">
        <v>4.5454545454545456E-2</v>
      </c>
      <c r="E7">
        <v>-1.6906216295848977</v>
      </c>
    </row>
    <row r="8" spans="2:5" x14ac:dyDescent="0.3">
      <c r="B8">
        <f>LNs!J44</f>
        <v>-0.72929677443144059</v>
      </c>
      <c r="C8">
        <v>6</v>
      </c>
      <c r="D8">
        <v>5.5555555555555552E-2</v>
      </c>
      <c r="E8">
        <v>-1.5932188180230502</v>
      </c>
    </row>
    <row r="9" spans="2:5" x14ac:dyDescent="0.3">
      <c r="B9">
        <f>LNs!J49</f>
        <v>-0.72887799051574431</v>
      </c>
      <c r="C9">
        <v>7</v>
      </c>
      <c r="D9">
        <v>6.5656565656565663E-2</v>
      </c>
      <c r="E9">
        <v>-1.5089438550380374</v>
      </c>
    </row>
    <row r="10" spans="2:5" x14ac:dyDescent="0.3">
      <c r="B10">
        <f>LNs!J94</f>
        <v>-0.72226090186470637</v>
      </c>
      <c r="C10">
        <v>8</v>
      </c>
      <c r="D10">
        <v>7.575757575757576E-2</v>
      </c>
      <c r="E10">
        <v>-1.4342001596863787</v>
      </c>
    </row>
    <row r="11" spans="2:5" x14ac:dyDescent="0.3">
      <c r="B11">
        <f>LNs!J35</f>
        <v>-0.71713664042015046</v>
      </c>
      <c r="C11">
        <v>9</v>
      </c>
      <c r="D11">
        <v>8.5858585858585856E-2</v>
      </c>
      <c r="E11">
        <v>-1.3667069718079636</v>
      </c>
    </row>
    <row r="12" spans="2:5" x14ac:dyDescent="0.3">
      <c r="B12">
        <f>LNs!J30</f>
        <v>-0.70354909336089466</v>
      </c>
      <c r="C12">
        <v>10</v>
      </c>
      <c r="D12">
        <v>9.5959595959595953E-2</v>
      </c>
      <c r="E12">
        <v>-1.304922637752725</v>
      </c>
    </row>
    <row r="13" spans="2:5" x14ac:dyDescent="0.3">
      <c r="B13">
        <f>LNs!J36</f>
        <v>-0.69070616227073278</v>
      </c>
      <c r="C13">
        <v>11</v>
      </c>
      <c r="D13">
        <v>0.10606060606060606</v>
      </c>
      <c r="E13">
        <v>-1.2477538553513243</v>
      </c>
    </row>
    <row r="14" spans="2:5" x14ac:dyDescent="0.3">
      <c r="B14">
        <f>LNs!J40</f>
        <v>-0.68526631630907553</v>
      </c>
      <c r="C14">
        <v>12</v>
      </c>
      <c r="D14">
        <v>0.11616161616161616</v>
      </c>
      <c r="E14">
        <v>-1.1943956635681565</v>
      </c>
    </row>
    <row r="15" spans="2:5" x14ac:dyDescent="0.3">
      <c r="B15">
        <f>LNs!J54</f>
        <v>-0.65109777961124182</v>
      </c>
      <c r="C15">
        <v>13</v>
      </c>
      <c r="D15">
        <v>0.12626262626262627</v>
      </c>
      <c r="E15">
        <v>-1.1442372651002066</v>
      </c>
    </row>
    <row r="16" spans="2:5" x14ac:dyDescent="0.3">
      <c r="B16">
        <f>LNs!J72</f>
        <v>-0.6458285747921434</v>
      </c>
      <c r="C16">
        <v>14</v>
      </c>
      <c r="D16">
        <v>0.13636363636363635</v>
      </c>
      <c r="E16">
        <v>-1.096803562093513</v>
      </c>
    </row>
    <row r="17" spans="2:5" x14ac:dyDescent="0.3">
      <c r="B17">
        <f>LNs!J70</f>
        <v>-0.62324805318027809</v>
      </c>
      <c r="C17">
        <v>15</v>
      </c>
      <c r="D17">
        <v>0.14646464646464646</v>
      </c>
      <c r="E17">
        <v>-1.0517172529984806</v>
      </c>
    </row>
    <row r="18" spans="2:5" x14ac:dyDescent="0.3">
      <c r="B18">
        <f>LNs!J21</f>
        <v>-0.60897516407525509</v>
      </c>
      <c r="C18">
        <v>16</v>
      </c>
      <c r="D18">
        <v>0.15656565656565657</v>
      </c>
      <c r="E18">
        <v>-1.0086733576467986</v>
      </c>
    </row>
    <row r="19" spans="2:5" x14ac:dyDescent="0.3">
      <c r="B19">
        <f>LNs!J28</f>
        <v>-0.60641184166532514</v>
      </c>
      <c r="C19">
        <v>17</v>
      </c>
      <c r="D19">
        <v>0.16666666666666666</v>
      </c>
      <c r="E19">
        <v>-0.96742156610170071</v>
      </c>
    </row>
    <row r="20" spans="2:5" x14ac:dyDescent="0.3">
      <c r="B20">
        <f>LNs!J45</f>
        <v>-0.60493668946175372</v>
      </c>
      <c r="C20">
        <v>18</v>
      </c>
      <c r="D20">
        <v>0.17676767676767677</v>
      </c>
      <c r="E20">
        <v>-0.92775368535742475</v>
      </c>
    </row>
    <row r="21" spans="2:5" x14ac:dyDescent="0.3">
      <c r="B21">
        <f>LNs!J4</f>
        <v>-0.56299474017019069</v>
      </c>
      <c r="C21">
        <v>19</v>
      </c>
      <c r="D21">
        <v>0.18686868686868688</v>
      </c>
      <c r="E21">
        <v>-0.88949450753063364</v>
      </c>
    </row>
    <row r="22" spans="2:5" x14ac:dyDescent="0.3">
      <c r="B22">
        <f>LNs!J37</f>
        <v>-0.55995459532416447</v>
      </c>
      <c r="C22">
        <v>20</v>
      </c>
      <c r="D22">
        <v>0.19696969696969696</v>
      </c>
      <c r="E22">
        <v>-0.85249503427469364</v>
      </c>
    </row>
    <row r="23" spans="2:5" x14ac:dyDescent="0.3">
      <c r="B23">
        <f>LNs!J33</f>
        <v>-0.53516613168582117</v>
      </c>
      <c r="C23">
        <v>21</v>
      </c>
      <c r="D23">
        <v>0.20707070707070707</v>
      </c>
      <c r="E23">
        <v>-0.81662736084860543</v>
      </c>
    </row>
    <row r="24" spans="2:5" x14ac:dyDescent="0.3">
      <c r="B24">
        <f>LNs!J62</f>
        <v>-0.52680088478178466</v>
      </c>
      <c r="C24">
        <v>22</v>
      </c>
      <c r="D24">
        <v>0.21717171717171718</v>
      </c>
      <c r="E24">
        <v>-0.78178075276507197</v>
      </c>
    </row>
    <row r="25" spans="2:5" x14ac:dyDescent="0.3">
      <c r="B25">
        <f>LNs!J71</f>
        <v>-0.51508635446800755</v>
      </c>
      <c r="C25">
        <v>23</v>
      </c>
      <c r="D25">
        <v>0.22727272727272727</v>
      </c>
      <c r="E25">
        <v>-0.74785859476330196</v>
      </c>
    </row>
    <row r="26" spans="2:5" x14ac:dyDescent="0.3">
      <c r="B26">
        <f>LNs!J26</f>
        <v>-0.49347043344628988</v>
      </c>
      <c r="C26">
        <v>24</v>
      </c>
      <c r="D26">
        <v>0.23737373737373738</v>
      </c>
      <c r="E26">
        <v>-0.71477598810315091</v>
      </c>
    </row>
    <row r="27" spans="2:5" x14ac:dyDescent="0.3">
      <c r="B27">
        <f>LNs!J48</f>
        <v>-0.46894498980226273</v>
      </c>
      <c r="C27">
        <v>25</v>
      </c>
      <c r="D27">
        <v>0.24747474747474749</v>
      </c>
      <c r="E27">
        <v>-0.68245783666933024</v>
      </c>
    </row>
    <row r="28" spans="2:5" x14ac:dyDescent="0.3">
      <c r="B28">
        <f>LNs!J69</f>
        <v>-0.46318691591881317</v>
      </c>
      <c r="C28">
        <v>26</v>
      </c>
      <c r="D28">
        <v>0.25757575757575757</v>
      </c>
      <c r="E28">
        <v>-0.65083730644447746</v>
      </c>
    </row>
    <row r="29" spans="2:5" x14ac:dyDescent="0.3">
      <c r="B29">
        <f>LNs!J53</f>
        <v>-0.44978069813271843</v>
      </c>
      <c r="C29">
        <v>27</v>
      </c>
      <c r="D29">
        <v>0.26767676767676768</v>
      </c>
      <c r="E29">
        <v>-0.61985457356549389</v>
      </c>
    </row>
    <row r="30" spans="2:5" x14ac:dyDescent="0.3">
      <c r="B30">
        <f>LNs!J46</f>
        <v>-0.44386971436728745</v>
      </c>
      <c r="C30">
        <v>28</v>
      </c>
      <c r="D30">
        <v>0.27777777777777779</v>
      </c>
      <c r="E30">
        <v>-0.58945579784977842</v>
      </c>
    </row>
    <row r="31" spans="2:5" x14ac:dyDescent="0.3">
      <c r="B31">
        <f>LNs!J56</f>
        <v>-0.42139024260529218</v>
      </c>
      <c r="C31">
        <v>29</v>
      </c>
      <c r="D31">
        <v>0.2878787878787879</v>
      </c>
      <c r="E31">
        <v>-0.5595922742274323</v>
      </c>
    </row>
    <row r="32" spans="2:5" x14ac:dyDescent="0.3">
      <c r="B32">
        <f>LNs!J19</f>
        <v>-0.40027012542796525</v>
      </c>
      <c r="C32">
        <v>30</v>
      </c>
      <c r="D32">
        <v>0.29797979797979796</v>
      </c>
      <c r="E32">
        <v>-0.53021972582422794</v>
      </c>
    </row>
    <row r="33" spans="2:5" x14ac:dyDescent="0.3">
      <c r="B33">
        <f>LNs!J73</f>
        <v>-0.36833552214581816</v>
      </c>
      <c r="C33">
        <v>31</v>
      </c>
      <c r="D33">
        <v>0.30808080808080807</v>
      </c>
      <c r="E33">
        <v>-0.50129771076772867</v>
      </c>
    </row>
    <row r="34" spans="2:5" x14ac:dyDescent="0.3">
      <c r="B34">
        <f>LNs!J83</f>
        <v>-0.3396268070506131</v>
      </c>
      <c r="C34">
        <v>32</v>
      </c>
      <c r="D34">
        <v>0.31818181818181818</v>
      </c>
      <c r="E34">
        <v>-0.47278912099226744</v>
      </c>
    </row>
    <row r="35" spans="2:5" x14ac:dyDescent="0.3">
      <c r="B35">
        <f>LNs!J66</f>
        <v>-0.33574410177574165</v>
      </c>
      <c r="C35">
        <v>33</v>
      </c>
      <c r="D35">
        <v>0.32828282828282829</v>
      </c>
      <c r="E35">
        <v>-0.4446597559886718</v>
      </c>
    </row>
    <row r="36" spans="2:5" x14ac:dyDescent="0.3">
      <c r="B36">
        <f>LNs!J55</f>
        <v>-0.32422020028997278</v>
      </c>
      <c r="C36">
        <v>34</v>
      </c>
      <c r="D36">
        <v>0.3383838383838384</v>
      </c>
      <c r="E36">
        <v>-0.41687795799540722</v>
      </c>
    </row>
    <row r="37" spans="2:5" x14ac:dyDescent="0.3">
      <c r="B37">
        <f>LNs!J81</f>
        <v>-0.31575512563195124</v>
      </c>
      <c r="C37">
        <v>35</v>
      </c>
      <c r="D37">
        <v>0.34848484848484851</v>
      </c>
      <c r="E37">
        <v>-0.38941429785214438</v>
      </c>
    </row>
    <row r="38" spans="2:5" x14ac:dyDescent="0.3">
      <c r="B38">
        <f>LNs!J90</f>
        <v>-0.31240518550728685</v>
      </c>
      <c r="C38">
        <v>36</v>
      </c>
      <c r="D38">
        <v>0.35858585858585856</v>
      </c>
      <c r="E38">
        <v>-0.3622413028447366</v>
      </c>
    </row>
    <row r="39" spans="2:5" x14ac:dyDescent="0.3">
      <c r="B39">
        <f>LNs!J32</f>
        <v>-0.31142846618178133</v>
      </c>
      <c r="C39">
        <v>37</v>
      </c>
      <c r="D39">
        <v>0.36868686868686867</v>
      </c>
      <c r="E39">
        <v>-0.33533321951439826</v>
      </c>
    </row>
    <row r="40" spans="2:5" x14ac:dyDescent="0.3">
      <c r="B40">
        <f>LNs!J82</f>
        <v>-0.30907596513945346</v>
      </c>
      <c r="C40">
        <v>38</v>
      </c>
      <c r="D40">
        <v>0.37878787878787878</v>
      </c>
      <c r="E40">
        <v>-0.30866580569493407</v>
      </c>
    </row>
    <row r="41" spans="2:5" x14ac:dyDescent="0.3">
      <c r="B41">
        <f>LNs!J60</f>
        <v>-0.29696233451785647</v>
      </c>
      <c r="C41">
        <v>39</v>
      </c>
      <c r="D41">
        <v>0.3888888888888889</v>
      </c>
      <c r="E41">
        <v>-0.28221614706250814</v>
      </c>
    </row>
    <row r="42" spans="2:5" x14ac:dyDescent="0.3">
      <c r="B42">
        <f>LNs!J61</f>
        <v>-0.285919626472521</v>
      </c>
      <c r="C42">
        <v>40</v>
      </c>
      <c r="D42">
        <v>0.39898989898989901</v>
      </c>
      <c r="E42">
        <v>-0.25596249429406465</v>
      </c>
    </row>
    <row r="43" spans="2:5" x14ac:dyDescent="0.3">
      <c r="B43">
        <f>LNs!J43</f>
        <v>-0.27959750746040263</v>
      </c>
      <c r="C43">
        <v>41</v>
      </c>
      <c r="D43">
        <v>0.40909090909090912</v>
      </c>
      <c r="E43">
        <v>-0.22988411757923208</v>
      </c>
    </row>
    <row r="44" spans="2:5" x14ac:dyDescent="0.3">
      <c r="B44">
        <f>LNs!J91</f>
        <v>-0.27776078492465661</v>
      </c>
      <c r="C44">
        <v>42</v>
      </c>
      <c r="D44">
        <v>0.41919191919191917</v>
      </c>
      <c r="E44">
        <v>-0.20396117575131437</v>
      </c>
    </row>
    <row r="45" spans="2:5" x14ac:dyDescent="0.3">
      <c r="B45">
        <f>LNs!J34</f>
        <v>-0.25121257632513544</v>
      </c>
      <c r="C45">
        <v>43</v>
      </c>
      <c r="D45">
        <v>0.42929292929292928</v>
      </c>
      <c r="E45">
        <v>-0.17817459772241043</v>
      </c>
    </row>
    <row r="46" spans="2:5" x14ac:dyDescent="0.3">
      <c r="B46">
        <f>LNs!J22</f>
        <v>-0.24830239757460953</v>
      </c>
      <c r="C46">
        <v>44</v>
      </c>
      <c r="D46">
        <v>0.43939393939393939</v>
      </c>
      <c r="E46">
        <v>-0.15250597424624437</v>
      </c>
    </row>
    <row r="47" spans="2:5" x14ac:dyDescent="0.3">
      <c r="B47">
        <f>LNs!J101</f>
        <v>-0.23246183195320386</v>
      </c>
      <c r="C47">
        <v>45</v>
      </c>
      <c r="D47">
        <v>0.4494949494949495</v>
      </c>
      <c r="E47">
        <v>-0.12693745830564304</v>
      </c>
    </row>
    <row r="48" spans="2:5" x14ac:dyDescent="0.3">
      <c r="B48">
        <f>LNs!J5</f>
        <v>-0.22899061210613697</v>
      </c>
      <c r="C48">
        <v>46</v>
      </c>
      <c r="D48">
        <v>0.45959595959595961</v>
      </c>
      <c r="E48">
        <v>-0.1014516726419474</v>
      </c>
    </row>
    <row r="49" spans="2:5" x14ac:dyDescent="0.3">
      <c r="B49">
        <f>LNs!J27</f>
        <v>-0.22307105394220766</v>
      </c>
      <c r="C49">
        <v>47</v>
      </c>
      <c r="D49">
        <v>0.46969696969696972</v>
      </c>
      <c r="E49">
        <v>-7.60316231203884E-2</v>
      </c>
    </row>
    <row r="50" spans="2:5" x14ac:dyDescent="0.3">
      <c r="B50">
        <f>LNs!J96</f>
        <v>-0.2017649606186121</v>
      </c>
      <c r="C50">
        <v>48</v>
      </c>
      <c r="D50">
        <v>0.47979797979797978</v>
      </c>
      <c r="E50">
        <v>-5.0660616765876576E-2</v>
      </c>
    </row>
    <row r="51" spans="2:5" x14ac:dyDescent="0.3">
      <c r="B51">
        <f>LNs!J58</f>
        <v>-0.18983209037449283</v>
      </c>
      <c r="C51">
        <v>49</v>
      </c>
      <c r="D51">
        <v>0.48989898989898989</v>
      </c>
      <c r="E51">
        <v>-2.5322183413346296E-2</v>
      </c>
    </row>
    <row r="52" spans="2:5" x14ac:dyDescent="0.3">
      <c r="B52">
        <f>LNs!J89</f>
        <v>-0.16771239220912909</v>
      </c>
      <c r="C52">
        <v>50</v>
      </c>
      <c r="D52">
        <v>0.5</v>
      </c>
      <c r="E52">
        <v>0</v>
      </c>
    </row>
    <row r="53" spans="2:5" x14ac:dyDescent="0.3">
      <c r="B53">
        <f>LNs!J18</f>
        <v>-0.16293430987390659</v>
      </c>
      <c r="C53">
        <v>51</v>
      </c>
      <c r="D53">
        <v>0.51010101010101006</v>
      </c>
      <c r="E53">
        <v>2.5322183413346164E-2</v>
      </c>
    </row>
    <row r="54" spans="2:5" x14ac:dyDescent="0.3">
      <c r="B54">
        <f>LNs!J20</f>
        <v>-0.15898635287089688</v>
      </c>
      <c r="C54">
        <v>52</v>
      </c>
      <c r="D54">
        <v>0.52020202020202022</v>
      </c>
      <c r="E54">
        <v>5.0660616765876576E-2</v>
      </c>
    </row>
    <row r="55" spans="2:5" x14ac:dyDescent="0.3">
      <c r="B55">
        <f>LNs!J68</f>
        <v>-0.14870304517033001</v>
      </c>
      <c r="C55">
        <v>53</v>
      </c>
      <c r="D55">
        <v>0.53030303030303028</v>
      </c>
      <c r="E55">
        <v>7.60316231203884E-2</v>
      </c>
    </row>
    <row r="56" spans="2:5" x14ac:dyDescent="0.3">
      <c r="B56">
        <f>LNs!J63</f>
        <v>-0.14249372028505328</v>
      </c>
      <c r="C56">
        <v>54</v>
      </c>
      <c r="D56">
        <v>0.54040404040404044</v>
      </c>
      <c r="E56">
        <v>0.10145167264194754</v>
      </c>
    </row>
    <row r="57" spans="2:5" x14ac:dyDescent="0.3">
      <c r="B57">
        <f>LNs!J24</f>
        <v>-0.11704855545301734</v>
      </c>
      <c r="C57">
        <v>55</v>
      </c>
      <c r="D57">
        <v>0.5505050505050505</v>
      </c>
      <c r="E57">
        <v>0.12693745830564304</v>
      </c>
    </row>
    <row r="58" spans="2:5" x14ac:dyDescent="0.3">
      <c r="B58">
        <f>LNs!J52</f>
        <v>-0.11425887780193039</v>
      </c>
      <c r="C58">
        <v>56</v>
      </c>
      <c r="D58">
        <v>0.56060606060606055</v>
      </c>
      <c r="E58">
        <v>0.15250597424624424</v>
      </c>
    </row>
    <row r="59" spans="2:5" x14ac:dyDescent="0.3">
      <c r="B59">
        <f>LNs!J65</f>
        <v>-0.1125462714725515</v>
      </c>
      <c r="C59">
        <v>57</v>
      </c>
      <c r="D59">
        <v>0.57070707070707072</v>
      </c>
      <c r="E59">
        <v>0.17817459772241043</v>
      </c>
    </row>
    <row r="60" spans="2:5" x14ac:dyDescent="0.3">
      <c r="B60">
        <f>LNs!J25</f>
        <v>-0.1054482972882987</v>
      </c>
      <c r="C60">
        <v>58</v>
      </c>
      <c r="D60">
        <v>0.58080808080808077</v>
      </c>
      <c r="E60">
        <v>0.2039611757513142</v>
      </c>
    </row>
    <row r="61" spans="2:5" x14ac:dyDescent="0.3">
      <c r="B61">
        <f>LNs!J93</f>
        <v>-9.6602314250594221E-2</v>
      </c>
      <c r="C61">
        <v>59</v>
      </c>
      <c r="D61">
        <v>0.59090909090909094</v>
      </c>
      <c r="E61">
        <v>0.22988411757923222</v>
      </c>
    </row>
    <row r="62" spans="2:5" x14ac:dyDescent="0.3">
      <c r="B62">
        <f>LNs!J98</f>
        <v>-9.5304579820004787E-2</v>
      </c>
      <c r="C62">
        <v>60</v>
      </c>
      <c r="D62">
        <v>0.60101010101010099</v>
      </c>
      <c r="E62">
        <v>0.25596249429406465</v>
      </c>
    </row>
    <row r="63" spans="2:5" x14ac:dyDescent="0.3">
      <c r="B63">
        <f>LNs!J67</f>
        <v>-6.6676271164452225E-2</v>
      </c>
      <c r="C63">
        <v>61</v>
      </c>
      <c r="D63">
        <v>0.61111111111111116</v>
      </c>
      <c r="E63">
        <v>0.28221614706250825</v>
      </c>
    </row>
    <row r="64" spans="2:5" x14ac:dyDescent="0.3">
      <c r="B64">
        <f>LNs!J92</f>
        <v>-6.1001317757442768E-2</v>
      </c>
      <c r="C64">
        <v>62</v>
      </c>
      <c r="D64">
        <v>0.62121212121212122</v>
      </c>
      <c r="E64">
        <v>0.30866580569493407</v>
      </c>
    </row>
    <row r="65" spans="2:5" x14ac:dyDescent="0.3">
      <c r="B65">
        <f>LNs!J74</f>
        <v>-4.7889619781277593E-2</v>
      </c>
      <c r="C65">
        <v>63</v>
      </c>
      <c r="D65">
        <v>0.63131313131313127</v>
      </c>
      <c r="E65">
        <v>0.3353332195143981</v>
      </c>
    </row>
    <row r="66" spans="2:5" x14ac:dyDescent="0.3">
      <c r="B66">
        <f>LNs!J100</f>
        <v>-4.6956396549481506E-2</v>
      </c>
      <c r="C66">
        <v>64</v>
      </c>
      <c r="D66">
        <v>0.64141414141414144</v>
      </c>
      <c r="E66">
        <v>0.3622413028447366</v>
      </c>
    </row>
    <row r="67" spans="2:5" x14ac:dyDescent="0.3">
      <c r="B67">
        <f>LNs!J50</f>
        <v>-4.3437913053623767E-2</v>
      </c>
      <c r="C67">
        <v>65</v>
      </c>
      <c r="D67">
        <v>0.65151515151515149</v>
      </c>
      <c r="E67">
        <v>0.38941429785214438</v>
      </c>
    </row>
    <row r="68" spans="2:5" x14ac:dyDescent="0.3">
      <c r="B68">
        <f>LNs!J47</f>
        <v>-3.8207706417903178E-2</v>
      </c>
      <c r="C68">
        <v>66</v>
      </c>
      <c r="D68">
        <v>0.66161616161616166</v>
      </c>
      <c r="E68">
        <v>0.41687795799540739</v>
      </c>
    </row>
    <row r="69" spans="2:5" x14ac:dyDescent="0.3">
      <c r="B69">
        <f>LNs!J57</f>
        <v>-3.4832674691374473E-2</v>
      </c>
      <c r="C69">
        <v>67</v>
      </c>
      <c r="D69">
        <v>0.67171717171717171</v>
      </c>
      <c r="E69">
        <v>0.4446597559886718</v>
      </c>
    </row>
    <row r="70" spans="2:5" x14ac:dyDescent="0.3">
      <c r="B70">
        <f>LNs!J13</f>
        <v>-2.5209095944939787E-2</v>
      </c>
      <c r="C70">
        <v>68</v>
      </c>
      <c r="D70">
        <v>0.68181818181818177</v>
      </c>
      <c r="E70">
        <v>0.47278912099226728</v>
      </c>
    </row>
    <row r="71" spans="2:5" x14ac:dyDescent="0.3">
      <c r="B71">
        <f>LNs!J95</f>
        <v>1.7053754565827622E-2</v>
      </c>
      <c r="C71">
        <v>69</v>
      </c>
      <c r="D71">
        <v>0.69191919191919193</v>
      </c>
      <c r="E71">
        <v>0.50129771076772867</v>
      </c>
    </row>
    <row r="72" spans="2:5" x14ac:dyDescent="0.3">
      <c r="B72">
        <f>LNs!J80</f>
        <v>2.8568020317057383E-2</v>
      </c>
      <c r="C72">
        <v>70</v>
      </c>
      <c r="D72">
        <v>0.70202020202020199</v>
      </c>
      <c r="E72">
        <v>0.53021972582422772</v>
      </c>
    </row>
    <row r="73" spans="2:5" x14ac:dyDescent="0.3">
      <c r="B73">
        <f>LNs!J59</f>
        <v>3.291239595575883E-2</v>
      </c>
      <c r="C73">
        <v>71</v>
      </c>
      <c r="D73">
        <v>0.71212121212121215</v>
      </c>
      <c r="E73">
        <v>0.55959227422743252</v>
      </c>
    </row>
    <row r="74" spans="2:5" x14ac:dyDescent="0.3">
      <c r="B74">
        <f>LNs!J76</f>
        <v>3.6081174570948331E-2</v>
      </c>
      <c r="C74">
        <v>72</v>
      </c>
      <c r="D74">
        <v>0.72222222222222221</v>
      </c>
      <c r="E74">
        <v>0.58945579784977842</v>
      </c>
    </row>
    <row r="75" spans="2:5" x14ac:dyDescent="0.3">
      <c r="B75">
        <f>LNs!J84</f>
        <v>4.6224972113833467E-2</v>
      </c>
      <c r="C75">
        <v>73</v>
      </c>
      <c r="D75">
        <v>0.73232323232323238</v>
      </c>
      <c r="E75">
        <v>0.61985457356549423</v>
      </c>
    </row>
    <row r="76" spans="2:5" x14ac:dyDescent="0.3">
      <c r="B76">
        <f>LNs!J39</f>
        <v>8.0805493601443151E-2</v>
      </c>
      <c r="C76">
        <v>74</v>
      </c>
      <c r="D76">
        <v>0.74242424242424243</v>
      </c>
      <c r="E76">
        <v>0.65083730644447746</v>
      </c>
    </row>
    <row r="77" spans="2:5" x14ac:dyDescent="0.3">
      <c r="B77">
        <f>LNs!J12</f>
        <v>0.10037912912784536</v>
      </c>
      <c r="C77">
        <v>75</v>
      </c>
      <c r="D77">
        <v>0.75252525252525249</v>
      </c>
      <c r="E77">
        <v>0.68245783666933024</v>
      </c>
    </row>
    <row r="78" spans="2:5" x14ac:dyDescent="0.3">
      <c r="B78">
        <f>LNs!J102</f>
        <v>0.11771192201675734</v>
      </c>
      <c r="C78">
        <v>76</v>
      </c>
      <c r="D78">
        <v>0.76262626262626265</v>
      </c>
      <c r="E78">
        <v>0.71477598810315091</v>
      </c>
    </row>
    <row r="79" spans="2:5" x14ac:dyDescent="0.3">
      <c r="B79">
        <f>LNs!J17</f>
        <v>0.17480168664353971</v>
      </c>
      <c r="C79">
        <v>77</v>
      </c>
      <c r="D79">
        <v>0.77272727272727271</v>
      </c>
      <c r="E79">
        <v>0.74785859476330196</v>
      </c>
    </row>
    <row r="80" spans="2:5" x14ac:dyDescent="0.3">
      <c r="B80">
        <f>LNs!J75</f>
        <v>0.18698566292083144</v>
      </c>
      <c r="C80">
        <v>78</v>
      </c>
      <c r="D80">
        <v>0.78282828282828287</v>
      </c>
      <c r="E80">
        <v>0.78178075276507275</v>
      </c>
    </row>
    <row r="81" spans="2:5" x14ac:dyDescent="0.3">
      <c r="B81">
        <f>LNs!J87</f>
        <v>0.21459511734425032</v>
      </c>
      <c r="C81">
        <v>79</v>
      </c>
      <c r="D81">
        <v>0.79292929292929293</v>
      </c>
      <c r="E81">
        <v>0.81662736084860543</v>
      </c>
    </row>
    <row r="82" spans="2:5" x14ac:dyDescent="0.3">
      <c r="B82">
        <f>LNs!J51</f>
        <v>0.23782721669936197</v>
      </c>
      <c r="C82">
        <v>80</v>
      </c>
      <c r="D82">
        <v>0.80303030303030298</v>
      </c>
      <c r="E82">
        <v>0.85249503427469353</v>
      </c>
    </row>
    <row r="83" spans="2:5" x14ac:dyDescent="0.3">
      <c r="B83">
        <f>LNs!J78</f>
        <v>0.2581708690773924</v>
      </c>
      <c r="C83">
        <v>81</v>
      </c>
      <c r="D83">
        <v>0.81313131313131315</v>
      </c>
      <c r="E83">
        <v>0.88949450753063364</v>
      </c>
    </row>
    <row r="84" spans="2:5" x14ac:dyDescent="0.3">
      <c r="B84">
        <f>LNs!J23</f>
        <v>0.31209171818153791</v>
      </c>
      <c r="C84">
        <v>82</v>
      </c>
      <c r="D84">
        <v>0.8232323232323232</v>
      </c>
      <c r="E84">
        <v>0.92775368535742475</v>
      </c>
    </row>
    <row r="85" spans="2:5" x14ac:dyDescent="0.3">
      <c r="B85">
        <f>LNs!J7</f>
        <v>0.33361816763830648</v>
      </c>
      <c r="C85">
        <v>83</v>
      </c>
      <c r="D85">
        <v>0.83333333333333337</v>
      </c>
      <c r="E85">
        <v>0.96742156610170071</v>
      </c>
    </row>
    <row r="86" spans="2:5" x14ac:dyDescent="0.3">
      <c r="B86">
        <f>LNs!J11</f>
        <v>0.36442781263454443</v>
      </c>
      <c r="C86">
        <v>84</v>
      </c>
      <c r="D86">
        <v>0.84343434343434343</v>
      </c>
      <c r="E86">
        <v>1.0086733576467986</v>
      </c>
    </row>
    <row r="87" spans="2:5" x14ac:dyDescent="0.3">
      <c r="B87">
        <f>LNs!J16</f>
        <v>0.41269888117004316</v>
      </c>
      <c r="C87">
        <v>85</v>
      </c>
      <c r="D87">
        <v>0.85353535353535348</v>
      </c>
      <c r="E87">
        <v>1.0517172529984837</v>
      </c>
    </row>
    <row r="88" spans="2:5" x14ac:dyDescent="0.3">
      <c r="B88">
        <f>LNs!J64</f>
        <v>0.4392544312642388</v>
      </c>
      <c r="C88">
        <v>86</v>
      </c>
      <c r="D88">
        <v>0.86363636363636365</v>
      </c>
      <c r="E88">
        <v>1.096803562093513</v>
      </c>
    </row>
    <row r="89" spans="2:5" x14ac:dyDescent="0.3">
      <c r="B89">
        <f>LNs!J79</f>
        <v>0.44021430043498327</v>
      </c>
      <c r="C89">
        <v>87</v>
      </c>
      <c r="D89">
        <v>0.8737373737373737</v>
      </c>
      <c r="E89">
        <v>1.1442372651002066</v>
      </c>
    </row>
    <row r="90" spans="2:5" x14ac:dyDescent="0.3">
      <c r="B90">
        <f>LNs!J88</f>
        <v>0.44779636312160254</v>
      </c>
      <c r="C90">
        <v>88</v>
      </c>
      <c r="D90">
        <v>0.88383838383838387</v>
      </c>
      <c r="E90">
        <v>1.1943956635681565</v>
      </c>
    </row>
    <row r="91" spans="2:5" x14ac:dyDescent="0.3">
      <c r="B91">
        <f>LNs!J99</f>
        <v>0.46878413596597812</v>
      </c>
      <c r="C91">
        <v>89</v>
      </c>
      <c r="D91">
        <v>0.89393939393939392</v>
      </c>
      <c r="E91">
        <v>1.2477538553513243</v>
      </c>
    </row>
    <row r="92" spans="2:5" x14ac:dyDescent="0.3">
      <c r="B92">
        <f>LNs!J77</f>
        <v>0.53374691239037597</v>
      </c>
      <c r="C92">
        <v>90</v>
      </c>
      <c r="D92">
        <v>0.90404040404040409</v>
      </c>
      <c r="E92">
        <v>1.3049226377527239</v>
      </c>
    </row>
    <row r="93" spans="2:5" x14ac:dyDescent="0.3">
      <c r="B93">
        <f>LNs!J15</f>
        <v>0.58610747807894148</v>
      </c>
      <c r="C93">
        <v>91</v>
      </c>
      <c r="D93">
        <v>0.91414141414141414</v>
      </c>
      <c r="E93">
        <v>1.3667069718079636</v>
      </c>
    </row>
    <row r="94" spans="2:5" x14ac:dyDescent="0.3">
      <c r="B94">
        <f>LNs!J86</f>
        <v>0.60467109504467886</v>
      </c>
      <c r="C94">
        <v>92</v>
      </c>
      <c r="D94">
        <v>0.9242424242424242</v>
      </c>
      <c r="E94">
        <v>1.434200159686378</v>
      </c>
    </row>
    <row r="95" spans="2:5" x14ac:dyDescent="0.3">
      <c r="B95">
        <f>LNs!J14</f>
        <v>0.60876507128731072</v>
      </c>
      <c r="C95">
        <v>93</v>
      </c>
      <c r="D95">
        <v>0.93434343434343436</v>
      </c>
      <c r="E95">
        <v>1.5089438550380383</v>
      </c>
    </row>
    <row r="96" spans="2:5" x14ac:dyDescent="0.3">
      <c r="B96">
        <f>LNs!J6</f>
        <v>0.62470772733742419</v>
      </c>
      <c r="C96">
        <v>94</v>
      </c>
      <c r="D96">
        <v>0.94444444444444442</v>
      </c>
      <c r="E96">
        <v>1.59321881802305</v>
      </c>
    </row>
    <row r="97" spans="2:5" x14ac:dyDescent="0.3">
      <c r="B97">
        <f>LNs!J97</f>
        <v>0.72343387316481766</v>
      </c>
      <c r="C97">
        <v>95</v>
      </c>
      <c r="D97">
        <v>0.95454545454545459</v>
      </c>
      <c r="E97">
        <v>1.6906216295848984</v>
      </c>
    </row>
    <row r="98" spans="2:5" x14ac:dyDescent="0.3">
      <c r="B98">
        <f>LNs!J8</f>
        <v>0.76224871280976891</v>
      </c>
      <c r="C98">
        <v>96</v>
      </c>
      <c r="D98">
        <v>0.96464646464646464</v>
      </c>
      <c r="E98">
        <v>1.807354196799112</v>
      </c>
    </row>
    <row r="99" spans="2:5" x14ac:dyDescent="0.3">
      <c r="B99">
        <f>LNs!J85</f>
        <v>0.96092369541840528</v>
      </c>
      <c r="C99">
        <v>97</v>
      </c>
      <c r="D99">
        <v>0.9747474747474747</v>
      </c>
      <c r="E99">
        <v>1.9556614355881674</v>
      </c>
    </row>
    <row r="100" spans="2:5" x14ac:dyDescent="0.3">
      <c r="B100">
        <f>LNs!J10</f>
        <v>1.0469364649852058</v>
      </c>
      <c r="C100">
        <v>98</v>
      </c>
      <c r="D100">
        <v>0.98484848484848486</v>
      </c>
      <c r="E100">
        <v>2.166106752892329</v>
      </c>
    </row>
    <row r="101" spans="2:5" x14ac:dyDescent="0.3">
      <c r="B101">
        <f>LNs!J9</f>
        <v>1.0642830593444828</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A039-A4B5-4E49-873C-E7D68F7A53E7}">
  <dimension ref="B2:E101"/>
  <sheetViews>
    <sheetView workbookViewId="0">
      <selection activeCell="P14" sqref="P14"/>
    </sheetView>
  </sheetViews>
  <sheetFormatPr defaultRowHeight="14.4" x14ac:dyDescent="0.3"/>
  <cols>
    <col min="4" max="4" width="14.33203125" bestFit="1" customWidth="1"/>
    <col min="5" max="5" width="17.88671875" customWidth="1"/>
  </cols>
  <sheetData>
    <row r="2" spans="2:5" x14ac:dyDescent="0.3">
      <c r="B2" t="s">
        <v>16</v>
      </c>
      <c r="C2" t="s">
        <v>4</v>
      </c>
      <c r="D2" t="s">
        <v>5</v>
      </c>
      <c r="E2" t="s">
        <v>6</v>
      </c>
    </row>
    <row r="3" spans="2:5" x14ac:dyDescent="0.3">
      <c r="B3">
        <f>LNs!K41</f>
        <v>-1.1073332055604179</v>
      </c>
      <c r="C3">
        <v>1</v>
      </c>
      <c r="D3">
        <v>5.0505050505050509E-3</v>
      </c>
      <c r="E3">
        <v>-2.5723521109428895</v>
      </c>
    </row>
    <row r="4" spans="2:5" x14ac:dyDescent="0.3">
      <c r="B4">
        <f>LNs!K21</f>
        <v>-0.90500465985718748</v>
      </c>
      <c r="C4">
        <v>2</v>
      </c>
      <c r="D4">
        <v>1.5151515151515152E-2</v>
      </c>
      <c r="E4">
        <v>-2.1661067528923286</v>
      </c>
    </row>
    <row r="5" spans="2:5" x14ac:dyDescent="0.3">
      <c r="B5">
        <f>LNs!K42</f>
        <v>-0.88799243247048676</v>
      </c>
      <c r="C5">
        <v>3</v>
      </c>
      <c r="D5">
        <v>2.5252525252525252E-2</v>
      </c>
      <c r="E5">
        <v>-1.9556614355881679</v>
      </c>
    </row>
    <row r="6" spans="2:5" x14ac:dyDescent="0.3">
      <c r="B6">
        <f>LNs!K94</f>
        <v>-0.8743837261914571</v>
      </c>
      <c r="C6">
        <v>4</v>
      </c>
      <c r="D6">
        <v>3.5353535353535352E-2</v>
      </c>
      <c r="E6">
        <v>-1.807354196799112</v>
      </c>
    </row>
    <row r="7" spans="2:5" x14ac:dyDescent="0.3">
      <c r="B7">
        <f>LNs!K29</f>
        <v>-0.76210290987953277</v>
      </c>
      <c r="C7">
        <v>5</v>
      </c>
      <c r="D7">
        <v>4.5454545454545456E-2</v>
      </c>
      <c r="E7">
        <v>-1.6906216295848977</v>
      </c>
    </row>
    <row r="8" spans="2:5" x14ac:dyDescent="0.3">
      <c r="B8">
        <f>LNs!K72</f>
        <v>-0.66741510839491147</v>
      </c>
      <c r="C8">
        <v>6</v>
      </c>
      <c r="D8">
        <v>5.5555555555555552E-2</v>
      </c>
      <c r="E8">
        <v>-1.5932188180230502</v>
      </c>
    </row>
    <row r="9" spans="2:5" x14ac:dyDescent="0.3">
      <c r="B9">
        <f>LNs!K31</f>
        <v>-0.66442756528876601</v>
      </c>
      <c r="C9">
        <v>7</v>
      </c>
      <c r="D9">
        <v>6.5656565656565663E-2</v>
      </c>
      <c r="E9">
        <v>-1.5089438550380374</v>
      </c>
    </row>
    <row r="10" spans="2:5" x14ac:dyDescent="0.3">
      <c r="B10">
        <f>LNs!K4</f>
        <v>-0.65645466059549773</v>
      </c>
      <c r="C10">
        <v>8</v>
      </c>
      <c r="D10">
        <v>7.575757575757576E-2</v>
      </c>
      <c r="E10">
        <v>-1.4342001596863787</v>
      </c>
    </row>
    <row r="11" spans="2:5" x14ac:dyDescent="0.3">
      <c r="B11">
        <f>LNs!K38</f>
        <v>-0.65049773684258838</v>
      </c>
      <c r="C11">
        <v>9</v>
      </c>
      <c r="D11">
        <v>8.5858585858585856E-2</v>
      </c>
      <c r="E11">
        <v>-1.3667069718079636</v>
      </c>
    </row>
    <row r="12" spans="2:5" x14ac:dyDescent="0.3">
      <c r="B12">
        <f>LNs!K44</f>
        <v>-0.64612810765666762</v>
      </c>
      <c r="C12">
        <v>10</v>
      </c>
      <c r="D12">
        <v>9.5959595959595953E-2</v>
      </c>
      <c r="E12">
        <v>-1.304922637752725</v>
      </c>
    </row>
    <row r="13" spans="2:5" x14ac:dyDescent="0.3">
      <c r="B13">
        <f>LNs!K49</f>
        <v>-0.64172999384736584</v>
      </c>
      <c r="C13">
        <v>11</v>
      </c>
      <c r="D13">
        <v>0.10606060606060606</v>
      </c>
      <c r="E13">
        <v>-1.2477538553513243</v>
      </c>
    </row>
    <row r="14" spans="2:5" x14ac:dyDescent="0.3">
      <c r="B14">
        <f>LNs!K30</f>
        <v>-0.62971802454037207</v>
      </c>
      <c r="C14">
        <v>12</v>
      </c>
      <c r="D14">
        <v>0.11616161616161616</v>
      </c>
      <c r="E14">
        <v>-1.1943956635681565</v>
      </c>
    </row>
    <row r="15" spans="2:5" x14ac:dyDescent="0.3">
      <c r="B15">
        <f>LNs!K26</f>
        <v>-0.59286755076960695</v>
      </c>
      <c r="C15">
        <v>13</v>
      </c>
      <c r="D15">
        <v>0.12626262626262627</v>
      </c>
      <c r="E15">
        <v>-1.1442372651002066</v>
      </c>
    </row>
    <row r="16" spans="2:5" x14ac:dyDescent="0.3">
      <c r="B16">
        <f>LNs!K40</f>
        <v>-0.58578985984495346</v>
      </c>
      <c r="C16">
        <v>14</v>
      </c>
      <c r="D16">
        <v>0.13636363636363635</v>
      </c>
      <c r="E16">
        <v>-1.096803562093513</v>
      </c>
    </row>
    <row r="17" spans="2:5" x14ac:dyDescent="0.3">
      <c r="B17">
        <f>LNs!K70</f>
        <v>-0.5735701994308422</v>
      </c>
      <c r="C17">
        <v>15</v>
      </c>
      <c r="D17">
        <v>0.14646464646464646</v>
      </c>
      <c r="E17">
        <v>-1.0517172529984806</v>
      </c>
    </row>
    <row r="18" spans="2:5" x14ac:dyDescent="0.3">
      <c r="B18">
        <f>LNs!K22</f>
        <v>-0.5553279936779606</v>
      </c>
      <c r="C18">
        <v>16</v>
      </c>
      <c r="D18">
        <v>0.15656565656565657</v>
      </c>
      <c r="E18">
        <v>-1.0086733576467986</v>
      </c>
    </row>
    <row r="19" spans="2:5" x14ac:dyDescent="0.3">
      <c r="B19">
        <f>LNs!K20</f>
        <v>-0.549119566503672</v>
      </c>
      <c r="C19">
        <v>17</v>
      </c>
      <c r="D19">
        <v>0.16666666666666666</v>
      </c>
      <c r="E19">
        <v>-0.96742156610170071</v>
      </c>
    </row>
    <row r="20" spans="2:5" x14ac:dyDescent="0.3">
      <c r="B20">
        <f>LNs!K35</f>
        <v>-0.53997297733081884</v>
      </c>
      <c r="C20">
        <v>18</v>
      </c>
      <c r="D20">
        <v>0.17676767676767677</v>
      </c>
      <c r="E20">
        <v>-0.92775368535742475</v>
      </c>
    </row>
    <row r="21" spans="2:5" x14ac:dyDescent="0.3">
      <c r="B21">
        <f>LNs!K45</f>
        <v>-0.5316969218874773</v>
      </c>
      <c r="C21">
        <v>19</v>
      </c>
      <c r="D21">
        <v>0.18686868686868688</v>
      </c>
      <c r="E21">
        <v>-0.88949450753063364</v>
      </c>
    </row>
    <row r="22" spans="2:5" x14ac:dyDescent="0.3">
      <c r="B22">
        <f>LNs!K28</f>
        <v>-0.53122562945711893</v>
      </c>
      <c r="C22">
        <v>20</v>
      </c>
      <c r="D22">
        <v>0.19696969696969696</v>
      </c>
      <c r="E22">
        <v>-0.85249503427469364</v>
      </c>
    </row>
    <row r="23" spans="2:5" x14ac:dyDescent="0.3">
      <c r="B23">
        <f>LNs!K54</f>
        <v>-0.51802480915936311</v>
      </c>
      <c r="C23">
        <v>21</v>
      </c>
      <c r="D23">
        <v>0.20707070707070707</v>
      </c>
      <c r="E23">
        <v>-0.81662736084860543</v>
      </c>
    </row>
    <row r="24" spans="2:5" x14ac:dyDescent="0.3">
      <c r="B24">
        <f>LNs!K83</f>
        <v>-0.51787709371275892</v>
      </c>
      <c r="C24">
        <v>22</v>
      </c>
      <c r="D24">
        <v>0.21717171717171718</v>
      </c>
      <c r="E24">
        <v>-0.78178075276507197</v>
      </c>
    </row>
    <row r="25" spans="2:5" x14ac:dyDescent="0.3">
      <c r="B25">
        <f>LNs!K36</f>
        <v>-0.50139853208879914</v>
      </c>
      <c r="C25">
        <v>23</v>
      </c>
      <c r="D25">
        <v>0.22727272727272727</v>
      </c>
      <c r="E25">
        <v>-0.74785859476330196</v>
      </c>
    </row>
    <row r="26" spans="2:5" x14ac:dyDescent="0.3">
      <c r="B26">
        <f>LNs!K69</f>
        <v>-0.4953985684096866</v>
      </c>
      <c r="C26">
        <v>24</v>
      </c>
      <c r="D26">
        <v>0.23737373737373738</v>
      </c>
      <c r="E26">
        <v>-0.71477598810315091</v>
      </c>
    </row>
    <row r="27" spans="2:5" x14ac:dyDescent="0.3">
      <c r="B27">
        <f>LNs!K82</f>
        <v>-0.4848216762292904</v>
      </c>
      <c r="C27">
        <v>25</v>
      </c>
      <c r="D27">
        <v>0.24747474747474749</v>
      </c>
      <c r="E27">
        <v>-0.68245783666933024</v>
      </c>
    </row>
    <row r="28" spans="2:5" x14ac:dyDescent="0.3">
      <c r="B28">
        <f>LNs!K71</f>
        <v>-0.4691991529236032</v>
      </c>
      <c r="C28">
        <v>26</v>
      </c>
      <c r="D28">
        <v>0.25757575757575757</v>
      </c>
      <c r="E28">
        <v>-0.65083730644447746</v>
      </c>
    </row>
    <row r="29" spans="2:5" x14ac:dyDescent="0.3">
      <c r="B29">
        <f>LNs!K48</f>
        <v>-0.44879806495740937</v>
      </c>
      <c r="C29">
        <v>27</v>
      </c>
      <c r="D29">
        <v>0.26767676767676768</v>
      </c>
      <c r="E29">
        <v>-0.61985457356549389</v>
      </c>
    </row>
    <row r="30" spans="2:5" x14ac:dyDescent="0.3">
      <c r="B30">
        <f>LNs!K46</f>
        <v>-0.43272942469635378</v>
      </c>
      <c r="C30">
        <v>28</v>
      </c>
      <c r="D30">
        <v>0.27777777777777779</v>
      </c>
      <c r="E30">
        <v>-0.58945579784977842</v>
      </c>
    </row>
    <row r="31" spans="2:5" x14ac:dyDescent="0.3">
      <c r="B31">
        <f>LNs!K62</f>
        <v>-0.41707423400141663</v>
      </c>
      <c r="C31">
        <v>29</v>
      </c>
      <c r="D31">
        <v>0.2878787878787879</v>
      </c>
      <c r="E31">
        <v>-0.5595922742274323</v>
      </c>
    </row>
    <row r="32" spans="2:5" x14ac:dyDescent="0.3">
      <c r="B32">
        <f>LNs!K90</f>
        <v>-0.41298531410804068</v>
      </c>
      <c r="C32">
        <v>30</v>
      </c>
      <c r="D32">
        <v>0.29797979797979796</v>
      </c>
      <c r="E32">
        <v>-0.53021972582422794</v>
      </c>
    </row>
    <row r="33" spans="2:5" x14ac:dyDescent="0.3">
      <c r="B33">
        <f>LNs!K37</f>
        <v>-0.40416944783856079</v>
      </c>
      <c r="C33">
        <v>31</v>
      </c>
      <c r="D33">
        <v>0.30808080808080807</v>
      </c>
      <c r="E33">
        <v>-0.50129771076772867</v>
      </c>
    </row>
    <row r="34" spans="2:5" x14ac:dyDescent="0.3">
      <c r="B34">
        <f>LNs!K24</f>
        <v>-0.40345512946929935</v>
      </c>
      <c r="C34">
        <v>32</v>
      </c>
      <c r="D34">
        <v>0.31818181818181818</v>
      </c>
      <c r="E34">
        <v>-0.47278912099226744</v>
      </c>
    </row>
    <row r="35" spans="2:5" x14ac:dyDescent="0.3">
      <c r="B35">
        <f>LNs!K81</f>
        <v>-0.39279521130236544</v>
      </c>
      <c r="C35">
        <v>33</v>
      </c>
      <c r="D35">
        <v>0.32828282828282829</v>
      </c>
      <c r="E35">
        <v>-0.4446597559886718</v>
      </c>
    </row>
    <row r="36" spans="2:5" x14ac:dyDescent="0.3">
      <c r="B36">
        <f>LNs!K18</f>
        <v>-0.38210704416841784</v>
      </c>
      <c r="C36">
        <v>34</v>
      </c>
      <c r="D36">
        <v>0.3383838383838384</v>
      </c>
      <c r="E36">
        <v>-0.41687795799540722</v>
      </c>
    </row>
    <row r="37" spans="2:5" x14ac:dyDescent="0.3">
      <c r="B37">
        <f>LNs!K19</f>
        <v>-0.37869708968753918</v>
      </c>
      <c r="C37">
        <v>35</v>
      </c>
      <c r="D37">
        <v>0.34848484848484851</v>
      </c>
      <c r="E37">
        <v>-0.38941429785214438</v>
      </c>
    </row>
    <row r="38" spans="2:5" x14ac:dyDescent="0.3">
      <c r="B38">
        <f>LNs!K56</f>
        <v>-0.34149221565834281</v>
      </c>
      <c r="C38">
        <v>36</v>
      </c>
      <c r="D38">
        <v>0.35858585858585856</v>
      </c>
      <c r="E38">
        <v>-0.3622413028447366</v>
      </c>
    </row>
    <row r="39" spans="2:5" x14ac:dyDescent="0.3">
      <c r="B39">
        <f>LNs!K53</f>
        <v>-0.3394947999669774</v>
      </c>
      <c r="C39">
        <v>37</v>
      </c>
      <c r="D39">
        <v>0.36868686868686867</v>
      </c>
      <c r="E39">
        <v>-0.33533321951439826</v>
      </c>
    </row>
    <row r="40" spans="2:5" x14ac:dyDescent="0.3">
      <c r="B40">
        <f>LNs!K91</f>
        <v>-0.33483797275816757</v>
      </c>
      <c r="C40">
        <v>38</v>
      </c>
      <c r="D40">
        <v>0.37878787878787878</v>
      </c>
      <c r="E40">
        <v>-0.30866580569493407</v>
      </c>
    </row>
    <row r="41" spans="2:5" x14ac:dyDescent="0.3">
      <c r="B41">
        <f>LNs!K33</f>
        <v>-0.32884857075109358</v>
      </c>
      <c r="C41">
        <v>39</v>
      </c>
      <c r="D41">
        <v>0.3888888888888889</v>
      </c>
      <c r="E41">
        <v>-0.28221614706250814</v>
      </c>
    </row>
    <row r="42" spans="2:5" x14ac:dyDescent="0.3">
      <c r="B42">
        <f>LNs!K43</f>
        <v>-0.31469567646007818</v>
      </c>
      <c r="C42">
        <v>40</v>
      </c>
      <c r="D42">
        <v>0.39898989898989901</v>
      </c>
      <c r="E42">
        <v>-0.25596249429406465</v>
      </c>
    </row>
    <row r="43" spans="2:5" x14ac:dyDescent="0.3">
      <c r="B43">
        <f>LNs!K25</f>
        <v>-0.28858381223024987</v>
      </c>
      <c r="C43">
        <v>41</v>
      </c>
      <c r="D43">
        <v>0.40909090909090912</v>
      </c>
      <c r="E43">
        <v>-0.22988411757923208</v>
      </c>
    </row>
    <row r="44" spans="2:5" x14ac:dyDescent="0.3">
      <c r="B44">
        <f>LNs!K73</f>
        <v>-0.25741543017322827</v>
      </c>
      <c r="C44">
        <v>42</v>
      </c>
      <c r="D44">
        <v>0.41919191919191917</v>
      </c>
      <c r="E44">
        <v>-0.20396117575131437</v>
      </c>
    </row>
    <row r="45" spans="2:5" x14ac:dyDescent="0.3">
      <c r="B45">
        <f>LNs!K89</f>
        <v>-0.25314023691267939</v>
      </c>
      <c r="C45">
        <v>43</v>
      </c>
      <c r="D45">
        <v>0.42929292929292928</v>
      </c>
      <c r="E45">
        <v>-0.17817459772241043</v>
      </c>
    </row>
    <row r="46" spans="2:5" x14ac:dyDescent="0.3">
      <c r="B46">
        <f>LNs!K27</f>
        <v>-0.23323176667300946</v>
      </c>
      <c r="C46">
        <v>44</v>
      </c>
      <c r="D46">
        <v>0.43939393939393939</v>
      </c>
      <c r="E46">
        <v>-0.15250597424624437</v>
      </c>
    </row>
    <row r="47" spans="2:5" x14ac:dyDescent="0.3">
      <c r="B47">
        <f>LNs!K5</f>
        <v>-0.23277983148645565</v>
      </c>
      <c r="C47">
        <v>45</v>
      </c>
      <c r="D47">
        <v>0.4494949494949495</v>
      </c>
      <c r="E47">
        <v>-0.12693745830564304</v>
      </c>
    </row>
    <row r="48" spans="2:5" x14ac:dyDescent="0.3">
      <c r="B48">
        <f>LNs!K93</f>
        <v>-0.21587379017803032</v>
      </c>
      <c r="C48">
        <v>46</v>
      </c>
      <c r="D48">
        <v>0.45959595959595961</v>
      </c>
      <c r="E48">
        <v>-0.1014516726419474</v>
      </c>
    </row>
    <row r="49" spans="2:5" x14ac:dyDescent="0.3">
      <c r="B49">
        <f>LNs!K96</f>
        <v>-0.21005211928472775</v>
      </c>
      <c r="C49">
        <v>47</v>
      </c>
      <c r="D49">
        <v>0.46969696969696972</v>
      </c>
      <c r="E49">
        <v>-7.60316231203884E-2</v>
      </c>
    </row>
    <row r="50" spans="2:5" x14ac:dyDescent="0.3">
      <c r="B50">
        <f>LNs!K55</f>
        <v>-0.19523538246338004</v>
      </c>
      <c r="C50">
        <v>48</v>
      </c>
      <c r="D50">
        <v>0.47979797979797978</v>
      </c>
      <c r="E50">
        <v>-5.0660616765876576E-2</v>
      </c>
    </row>
    <row r="51" spans="2:5" x14ac:dyDescent="0.3">
      <c r="B51">
        <f>LNs!K32</f>
        <v>-0.18767385482056398</v>
      </c>
      <c r="C51">
        <v>49</v>
      </c>
      <c r="D51">
        <v>0.48989898989898989</v>
      </c>
      <c r="E51">
        <v>-2.5322183413346296E-2</v>
      </c>
    </row>
    <row r="52" spans="2:5" x14ac:dyDescent="0.3">
      <c r="B52">
        <f>LNs!K13</f>
        <v>-0.187026206322704</v>
      </c>
      <c r="C52">
        <v>50</v>
      </c>
      <c r="D52">
        <v>0.5</v>
      </c>
      <c r="E52">
        <v>0</v>
      </c>
    </row>
    <row r="53" spans="2:5" x14ac:dyDescent="0.3">
      <c r="B53">
        <f>LNs!K61</f>
        <v>-0.18424741005945808</v>
      </c>
      <c r="C53">
        <v>51</v>
      </c>
      <c r="D53">
        <v>0.51010101010101006</v>
      </c>
      <c r="E53">
        <v>2.5322183413346164E-2</v>
      </c>
    </row>
    <row r="54" spans="2:5" x14ac:dyDescent="0.3">
      <c r="B54">
        <f>LNs!K100</f>
        <v>-0.18030559022077736</v>
      </c>
      <c r="C54">
        <v>52</v>
      </c>
      <c r="D54">
        <v>0.52020202020202022</v>
      </c>
      <c r="E54">
        <v>5.0660616765876576E-2</v>
      </c>
    </row>
    <row r="55" spans="2:5" x14ac:dyDescent="0.3">
      <c r="B55">
        <f>LNs!K66</f>
        <v>-0.17465581382349699</v>
      </c>
      <c r="C55">
        <v>53</v>
      </c>
      <c r="D55">
        <v>0.53030303030303028</v>
      </c>
      <c r="E55">
        <v>7.60316231203884E-2</v>
      </c>
    </row>
    <row r="56" spans="2:5" x14ac:dyDescent="0.3">
      <c r="B56">
        <f>LNs!K98</f>
        <v>-0.16802701234930556</v>
      </c>
      <c r="C56">
        <v>54</v>
      </c>
      <c r="D56">
        <v>0.54040404040404044</v>
      </c>
      <c r="E56">
        <v>0.10145167264194754</v>
      </c>
    </row>
    <row r="57" spans="2:5" x14ac:dyDescent="0.3">
      <c r="B57">
        <f>LNs!K34</f>
        <v>-0.16588458697407657</v>
      </c>
      <c r="C57">
        <v>55</v>
      </c>
      <c r="D57">
        <v>0.5505050505050505</v>
      </c>
      <c r="E57">
        <v>0.12693745830564304</v>
      </c>
    </row>
    <row r="58" spans="2:5" x14ac:dyDescent="0.3">
      <c r="B58">
        <f>LNs!K101</f>
        <v>-0.16253775320435157</v>
      </c>
      <c r="C58">
        <v>56</v>
      </c>
      <c r="D58">
        <v>0.56060606060606055</v>
      </c>
      <c r="E58">
        <v>0.15250597424624424</v>
      </c>
    </row>
    <row r="59" spans="2:5" x14ac:dyDescent="0.3">
      <c r="B59">
        <f>LNs!K60</f>
        <v>-0.1464487493202804</v>
      </c>
      <c r="C59">
        <v>57</v>
      </c>
      <c r="D59">
        <v>0.57070707070707072</v>
      </c>
      <c r="E59">
        <v>0.17817459772241043</v>
      </c>
    </row>
    <row r="60" spans="2:5" x14ac:dyDescent="0.3">
      <c r="B60">
        <f>LNs!K12</f>
        <v>-0.14372719360301692</v>
      </c>
      <c r="C60">
        <v>58</v>
      </c>
      <c r="D60">
        <v>0.58080808080808077</v>
      </c>
      <c r="E60">
        <v>0.2039611757513142</v>
      </c>
    </row>
    <row r="61" spans="2:5" x14ac:dyDescent="0.3">
      <c r="B61">
        <f>LNs!K68</f>
        <v>-0.10201168481198046</v>
      </c>
      <c r="C61">
        <v>59</v>
      </c>
      <c r="D61">
        <v>0.59090909090909094</v>
      </c>
      <c r="E61">
        <v>0.22988411757923222</v>
      </c>
    </row>
    <row r="62" spans="2:5" x14ac:dyDescent="0.3">
      <c r="B62">
        <f>LNs!K58</f>
        <v>-7.80047856479711E-2</v>
      </c>
      <c r="C62">
        <v>60</v>
      </c>
      <c r="D62">
        <v>0.60101010101010099</v>
      </c>
      <c r="E62">
        <v>0.25596249429406465</v>
      </c>
    </row>
    <row r="63" spans="2:5" x14ac:dyDescent="0.3">
      <c r="B63">
        <f>LNs!K63</f>
        <v>-5.1240664193596172E-2</v>
      </c>
      <c r="C63">
        <v>61</v>
      </c>
      <c r="D63">
        <v>0.61111111111111116</v>
      </c>
      <c r="E63">
        <v>0.28221614706250825</v>
      </c>
    </row>
    <row r="64" spans="2:5" x14ac:dyDescent="0.3">
      <c r="B64">
        <f>LNs!K84</f>
        <v>-2.4361342466378402E-2</v>
      </c>
      <c r="C64">
        <v>62</v>
      </c>
      <c r="D64">
        <v>0.62121212121212122</v>
      </c>
      <c r="E64">
        <v>0.30866580569493407</v>
      </c>
    </row>
    <row r="65" spans="2:5" x14ac:dyDescent="0.3">
      <c r="B65">
        <f>LNs!K47</f>
        <v>-2.3612596018287881E-2</v>
      </c>
      <c r="C65">
        <v>63</v>
      </c>
      <c r="D65">
        <v>0.63131313131313127</v>
      </c>
      <c r="E65">
        <v>0.3353332195143981</v>
      </c>
    </row>
    <row r="66" spans="2:5" x14ac:dyDescent="0.3">
      <c r="B66">
        <f>LNs!K92</f>
        <v>-1.034027687223559E-2</v>
      </c>
      <c r="C66">
        <v>64</v>
      </c>
      <c r="D66">
        <v>0.64141414141414144</v>
      </c>
      <c r="E66">
        <v>0.3622413028447366</v>
      </c>
    </row>
    <row r="67" spans="2:5" x14ac:dyDescent="0.3">
      <c r="B67">
        <f>LNs!K52</f>
        <v>3.5636426759385865E-3</v>
      </c>
      <c r="C67">
        <v>65</v>
      </c>
      <c r="D67">
        <v>0.65151515151515149</v>
      </c>
      <c r="E67">
        <v>0.38941429785214438</v>
      </c>
    </row>
    <row r="68" spans="2:5" x14ac:dyDescent="0.3">
      <c r="B68">
        <f>LNs!K50</f>
        <v>1.8919884852510768E-2</v>
      </c>
      <c r="C68">
        <v>66</v>
      </c>
      <c r="D68">
        <v>0.66161616161616166</v>
      </c>
      <c r="E68">
        <v>0.41687795799540739</v>
      </c>
    </row>
    <row r="69" spans="2:5" x14ac:dyDescent="0.3">
      <c r="B69">
        <f>LNs!K67</f>
        <v>2.7440054425390978E-2</v>
      </c>
      <c r="C69">
        <v>67</v>
      </c>
      <c r="D69">
        <v>0.67171717171717171</v>
      </c>
      <c r="E69">
        <v>0.4446597559886718</v>
      </c>
    </row>
    <row r="70" spans="2:5" x14ac:dyDescent="0.3">
      <c r="B70">
        <f>LNs!K80</f>
        <v>4.5374814687990289E-2</v>
      </c>
      <c r="C70">
        <v>68</v>
      </c>
      <c r="D70">
        <v>0.68181818181818177</v>
      </c>
      <c r="E70">
        <v>0.47278912099226728</v>
      </c>
    </row>
    <row r="71" spans="2:5" x14ac:dyDescent="0.3">
      <c r="B71">
        <f>LNs!K17</f>
        <v>5.4440835678246299E-2</v>
      </c>
      <c r="C71">
        <v>69</v>
      </c>
      <c r="D71">
        <v>0.69191919191919193</v>
      </c>
      <c r="E71">
        <v>0.50129771076772867</v>
      </c>
    </row>
    <row r="72" spans="2:5" x14ac:dyDescent="0.3">
      <c r="B72">
        <f>LNs!K87</f>
        <v>6.2467628318475174E-2</v>
      </c>
      <c r="C72">
        <v>70</v>
      </c>
      <c r="D72">
        <v>0.70202020202020199</v>
      </c>
      <c r="E72">
        <v>0.53021972582422772</v>
      </c>
    </row>
    <row r="73" spans="2:5" x14ac:dyDescent="0.3">
      <c r="B73">
        <f>LNs!K65</f>
        <v>6.4447892030877765E-2</v>
      </c>
      <c r="C73">
        <v>71</v>
      </c>
      <c r="D73">
        <v>0.71212121212121215</v>
      </c>
      <c r="E73">
        <v>0.55959227422743252</v>
      </c>
    </row>
    <row r="74" spans="2:5" x14ac:dyDescent="0.3">
      <c r="B74">
        <f>LNs!K39</f>
        <v>7.8875873340900154E-2</v>
      </c>
      <c r="C74">
        <v>72</v>
      </c>
      <c r="D74">
        <v>0.72222222222222221</v>
      </c>
      <c r="E74">
        <v>0.58945579784977842</v>
      </c>
    </row>
    <row r="75" spans="2:5" x14ac:dyDescent="0.3">
      <c r="B75">
        <f>LNs!K23</f>
        <v>8.4828162176245184E-2</v>
      </c>
      <c r="C75">
        <v>73</v>
      </c>
      <c r="D75">
        <v>0.73232323232323238</v>
      </c>
      <c r="E75">
        <v>0.61985457356549423</v>
      </c>
    </row>
    <row r="76" spans="2:5" x14ac:dyDescent="0.3">
      <c r="B76">
        <f>LNs!K95</f>
        <v>0.11271242402845112</v>
      </c>
      <c r="C76">
        <v>74</v>
      </c>
      <c r="D76">
        <v>0.74242424242424243</v>
      </c>
      <c r="E76">
        <v>0.65083730644447746</v>
      </c>
    </row>
    <row r="77" spans="2:5" x14ac:dyDescent="0.3">
      <c r="B77">
        <f>LNs!K57</f>
        <v>0.11744520081884267</v>
      </c>
      <c r="C77">
        <v>75</v>
      </c>
      <c r="D77">
        <v>0.75252525252525249</v>
      </c>
      <c r="E77">
        <v>0.68245783666933024</v>
      </c>
    </row>
    <row r="78" spans="2:5" x14ac:dyDescent="0.3">
      <c r="B78">
        <f>LNs!K16</f>
        <v>0.14030092753134216</v>
      </c>
      <c r="C78">
        <v>76</v>
      </c>
      <c r="D78">
        <v>0.76262626262626265</v>
      </c>
      <c r="E78">
        <v>0.71477598810315091</v>
      </c>
    </row>
    <row r="79" spans="2:5" x14ac:dyDescent="0.3">
      <c r="B79">
        <f>LNs!K74</f>
        <v>0.16210184252909679</v>
      </c>
      <c r="C79">
        <v>77</v>
      </c>
      <c r="D79">
        <v>0.77272727272727271</v>
      </c>
      <c r="E79">
        <v>0.74785859476330196</v>
      </c>
    </row>
    <row r="80" spans="2:5" x14ac:dyDescent="0.3">
      <c r="B80">
        <f>LNs!K76</f>
        <v>0.17761884971373726</v>
      </c>
      <c r="C80">
        <v>78</v>
      </c>
      <c r="D80">
        <v>0.78282828282828287</v>
      </c>
      <c r="E80">
        <v>0.78178075276507275</v>
      </c>
    </row>
    <row r="81" spans="2:5" x14ac:dyDescent="0.3">
      <c r="B81">
        <f>LNs!K59</f>
        <v>0.18615586310390125</v>
      </c>
      <c r="C81">
        <v>79</v>
      </c>
      <c r="D81">
        <v>0.79292929292929293</v>
      </c>
      <c r="E81">
        <v>0.81662736084860543</v>
      </c>
    </row>
    <row r="82" spans="2:5" x14ac:dyDescent="0.3">
      <c r="B82">
        <f>LNs!K11</f>
        <v>0.19482637793242907</v>
      </c>
      <c r="C82">
        <v>80</v>
      </c>
      <c r="D82">
        <v>0.80303030303030298</v>
      </c>
      <c r="E82">
        <v>0.85249503427469353</v>
      </c>
    </row>
    <row r="83" spans="2:5" x14ac:dyDescent="0.3">
      <c r="B83">
        <f>LNs!K102</f>
        <v>0.21144337036597319</v>
      </c>
      <c r="C83">
        <v>81</v>
      </c>
      <c r="D83">
        <v>0.81313131313131315</v>
      </c>
      <c r="E83">
        <v>0.88949450753063364</v>
      </c>
    </row>
    <row r="84" spans="2:5" x14ac:dyDescent="0.3">
      <c r="B84">
        <f>LNs!K75</f>
        <v>0.27154506854163057</v>
      </c>
      <c r="C84">
        <v>82</v>
      </c>
      <c r="D84">
        <v>0.8232323232323232</v>
      </c>
      <c r="E84">
        <v>0.92775368535742475</v>
      </c>
    </row>
    <row r="85" spans="2:5" x14ac:dyDescent="0.3">
      <c r="B85">
        <f>LNs!K88</f>
        <v>0.34333435264165785</v>
      </c>
      <c r="C85">
        <v>83</v>
      </c>
      <c r="D85">
        <v>0.83333333333333337</v>
      </c>
      <c r="E85">
        <v>0.96742156610170071</v>
      </c>
    </row>
    <row r="86" spans="2:5" x14ac:dyDescent="0.3">
      <c r="B86">
        <f>LNs!K7</f>
        <v>0.35935834040791387</v>
      </c>
      <c r="C86">
        <v>84</v>
      </c>
      <c r="D86">
        <v>0.84343434343434343</v>
      </c>
      <c r="E86">
        <v>1.0086733576467986</v>
      </c>
    </row>
    <row r="87" spans="2:5" x14ac:dyDescent="0.3">
      <c r="B87">
        <f>LNs!K78</f>
        <v>0.3623209750655505</v>
      </c>
      <c r="C87">
        <v>85</v>
      </c>
      <c r="D87">
        <v>0.85353535353535348</v>
      </c>
      <c r="E87">
        <v>1.0517172529984837</v>
      </c>
    </row>
    <row r="88" spans="2:5" x14ac:dyDescent="0.3">
      <c r="B88">
        <f>LNs!K51</f>
        <v>0.37481344224198665</v>
      </c>
      <c r="C88">
        <v>86</v>
      </c>
      <c r="D88">
        <v>0.86363636363636365</v>
      </c>
      <c r="E88">
        <v>1.096803562093513</v>
      </c>
    </row>
    <row r="89" spans="2:5" x14ac:dyDescent="0.3">
      <c r="B89">
        <f>LNs!K14</f>
        <v>0.39535416435743537</v>
      </c>
      <c r="C89">
        <v>87</v>
      </c>
      <c r="D89">
        <v>0.8737373737373737</v>
      </c>
      <c r="E89">
        <v>1.1442372651002066</v>
      </c>
    </row>
    <row r="90" spans="2:5" x14ac:dyDescent="0.3">
      <c r="B90">
        <f>LNs!K77</f>
        <v>0.40682418414579541</v>
      </c>
      <c r="C90">
        <v>88</v>
      </c>
      <c r="D90">
        <v>0.88383838383838387</v>
      </c>
      <c r="E90">
        <v>1.1943956635681565</v>
      </c>
    </row>
    <row r="91" spans="2:5" x14ac:dyDescent="0.3">
      <c r="B91">
        <f>LNs!K99</f>
        <v>0.4543251111086497</v>
      </c>
      <c r="C91">
        <v>89</v>
      </c>
      <c r="D91">
        <v>0.89393939393939392</v>
      </c>
      <c r="E91">
        <v>1.2477538553513243</v>
      </c>
    </row>
    <row r="92" spans="2:5" x14ac:dyDescent="0.3">
      <c r="B92">
        <f>LNs!K86</f>
        <v>0.45700703824995048</v>
      </c>
      <c r="C92">
        <v>90</v>
      </c>
      <c r="D92">
        <v>0.90404040404040409</v>
      </c>
      <c r="E92">
        <v>1.3049226377527239</v>
      </c>
    </row>
    <row r="93" spans="2:5" x14ac:dyDescent="0.3">
      <c r="B93">
        <f>LNs!K15</f>
        <v>0.46760700964588658</v>
      </c>
      <c r="C93">
        <v>91</v>
      </c>
      <c r="D93">
        <v>0.91414141414141414</v>
      </c>
      <c r="E93">
        <v>1.3667069718079636</v>
      </c>
    </row>
    <row r="94" spans="2:5" x14ac:dyDescent="0.3">
      <c r="B94">
        <f>LNs!K64</f>
        <v>0.48572317720514924</v>
      </c>
      <c r="C94">
        <v>92</v>
      </c>
      <c r="D94">
        <v>0.9242424242424242</v>
      </c>
      <c r="E94">
        <v>1.434200159686378</v>
      </c>
    </row>
    <row r="95" spans="2:5" x14ac:dyDescent="0.3">
      <c r="B95">
        <f>LNs!K79</f>
        <v>0.50370432741836924</v>
      </c>
      <c r="C95">
        <v>93</v>
      </c>
      <c r="D95">
        <v>0.93434343434343436</v>
      </c>
      <c r="E95">
        <v>1.5089438550380383</v>
      </c>
    </row>
    <row r="96" spans="2:5" x14ac:dyDescent="0.3">
      <c r="B96">
        <f>LNs!K6</f>
        <v>0.62714091614733936</v>
      </c>
      <c r="C96">
        <v>94</v>
      </c>
      <c r="D96">
        <v>0.94444444444444442</v>
      </c>
      <c r="E96">
        <v>1.59321881802305</v>
      </c>
    </row>
    <row r="97" spans="2:5" x14ac:dyDescent="0.3">
      <c r="B97">
        <f>LNs!K97</f>
        <v>0.63076100812384961</v>
      </c>
      <c r="C97">
        <v>95</v>
      </c>
      <c r="D97">
        <v>0.95454545454545459</v>
      </c>
      <c r="E97">
        <v>1.6906216295848984</v>
      </c>
    </row>
    <row r="98" spans="2:5" x14ac:dyDescent="0.3">
      <c r="B98">
        <f>LNs!K8</f>
        <v>0.67868815078232558</v>
      </c>
      <c r="C98">
        <v>96</v>
      </c>
      <c r="D98">
        <v>0.96464646464646464</v>
      </c>
      <c r="E98">
        <v>1.807354196799112</v>
      </c>
    </row>
    <row r="99" spans="2:5" x14ac:dyDescent="0.3">
      <c r="B99">
        <f>LNs!K10</f>
        <v>0.88375514339754058</v>
      </c>
      <c r="C99">
        <v>97</v>
      </c>
      <c r="D99">
        <v>0.9747474747474747</v>
      </c>
      <c r="E99">
        <v>1.9556614355881674</v>
      </c>
    </row>
    <row r="100" spans="2:5" x14ac:dyDescent="0.3">
      <c r="B100">
        <f>LNs!K85</f>
        <v>0.88843431974392306</v>
      </c>
      <c r="C100">
        <v>98</v>
      </c>
      <c r="D100">
        <v>0.98484848484848486</v>
      </c>
      <c r="E100">
        <v>2.166106752892329</v>
      </c>
    </row>
    <row r="101" spans="2:5" x14ac:dyDescent="0.3">
      <c r="B101">
        <f>LNs!K9</f>
        <v>1.0332698889511609</v>
      </c>
      <c r="C101">
        <v>99</v>
      </c>
      <c r="D101">
        <v>0.99494949494949492</v>
      </c>
      <c r="E101">
        <v>2.5723521109428868</v>
      </c>
    </row>
  </sheetData>
  <sortState xmlns:xlrd2="http://schemas.microsoft.com/office/spreadsheetml/2017/richdata2" ref="B3:B101">
    <sortCondition ref="B3:B101"/>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f17cafe-be70-4adc-8435-53706eee0c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AB475D85A0E14298AE993AD626BF53" ma:contentTypeVersion="5" ma:contentTypeDescription="Create a new document." ma:contentTypeScope="" ma:versionID="64ceb2e38004889d6c1b0772bc54045f">
  <xsd:schema xmlns:xsd="http://www.w3.org/2001/XMLSchema" xmlns:xs="http://www.w3.org/2001/XMLSchema" xmlns:p="http://schemas.microsoft.com/office/2006/metadata/properties" xmlns:ns3="df17cafe-be70-4adc-8435-53706eee0cad" targetNamespace="http://schemas.microsoft.com/office/2006/metadata/properties" ma:root="true" ma:fieldsID="9365891bd31f33f00c0830af05137565" ns3:_="">
    <xsd:import namespace="df17cafe-be70-4adc-8435-53706eee0ca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7cafe-be70-4adc-8435-53706eee0ca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2120FD-0875-4BC8-BB5A-453ED8A5231F}">
  <ds:schemaRefs>
    <ds:schemaRef ds:uri="df17cafe-be70-4adc-8435-53706eee0cad"/>
    <ds:schemaRef ds:uri="http://schemas.microsoft.com/office/infopath/2007/PartnerControls"/>
    <ds:schemaRef ds:uri="http://purl.org/dc/elements/1.1/"/>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0C71182D-CE74-4BDB-8408-264C5526C439}">
  <ds:schemaRefs>
    <ds:schemaRef ds:uri="http://schemas.microsoft.com/sharepoint/v3/contenttype/forms"/>
  </ds:schemaRefs>
</ds:datastoreItem>
</file>

<file path=customXml/itemProps3.xml><?xml version="1.0" encoding="utf-8"?>
<ds:datastoreItem xmlns:ds="http://schemas.openxmlformats.org/officeDocument/2006/customXml" ds:itemID="{0A8CD940-8F8B-44D6-AE31-7CBD2ED9E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17cafe-be70-4adc-8435-53706eee0c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SDs by Year for Deciles</vt:lpstr>
      <vt:lpstr>LNs</vt:lpstr>
      <vt:lpstr>Correlation Matrix</vt:lpstr>
      <vt:lpstr>Lo 10 Test</vt:lpstr>
      <vt:lpstr>Dec 2 Test</vt:lpstr>
      <vt:lpstr>Dec 3 Test</vt:lpstr>
      <vt:lpstr>Dec 4 Test</vt:lpstr>
      <vt:lpstr>Dec 5 Test</vt:lpstr>
      <vt:lpstr>Dec 6 Test</vt:lpstr>
      <vt:lpstr>Dec 7 Test</vt:lpstr>
      <vt:lpstr>Dec 8 Test</vt:lpstr>
      <vt:lpstr>Dec 9 Test</vt:lpstr>
      <vt:lpstr>Hi 10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Ender Dempsey</dc:creator>
  <cp:lastModifiedBy>Ender Dempsey</cp:lastModifiedBy>
  <dcterms:created xsi:type="dcterms:W3CDTF">2026-09-21T21:31:58Z</dcterms:created>
  <dcterms:modified xsi:type="dcterms:W3CDTF">2026-10-28T23:28:05Z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0x0101004EAB475D85A0E14298AE993AD626BF53</vt:lpwstr>
  </property>
</Properties>
</file>